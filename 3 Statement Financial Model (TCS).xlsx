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k/Desktop/Projects/"/>
    </mc:Choice>
  </mc:AlternateContent>
  <xr:revisionPtr revIDLastSave="0" documentId="13_ncr:1_{51F58370-BDFB-CB44-8CB6-EA555DF9A3AA}" xr6:coauthVersionLast="47" xr6:coauthVersionMax="47" xr10:uidLastSave="{00000000-0000-0000-0000-000000000000}"/>
  <bookViews>
    <workbookView xWindow="0" yWindow="660" windowWidth="30240" windowHeight="17580" tabRatio="500" activeTab="4" xr2:uid="{00000000-000D-0000-FFFF-FFFF00000000}"/>
  </bookViews>
  <sheets>
    <sheet name="Income Statement" sheetId="1" r:id="rId1"/>
    <sheet name="Balance Sheet" sheetId="2" r:id="rId2"/>
    <sheet name="Cash Flow Statement" sheetId="3" r:id="rId3"/>
    <sheet name="Ratio Analysis" sheetId="4" r:id="rId4"/>
    <sheet name="Revenue Profit Trend" sheetId="5" r:id="rId5"/>
  </sheets>
  <externalReferences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5" l="1"/>
  <c r="F13" i="5" s="1"/>
  <c r="C13" i="5"/>
  <c r="E13" i="5" s="1"/>
  <c r="B13" i="5"/>
  <c r="D12" i="5"/>
  <c r="F12" i="5" s="1"/>
  <c r="C12" i="5"/>
  <c r="E12" i="5" s="1"/>
  <c r="B12" i="5"/>
  <c r="F11" i="5"/>
  <c r="D11" i="5"/>
  <c r="C11" i="5"/>
  <c r="E11" i="5" s="1"/>
  <c r="B11" i="5"/>
  <c r="F8" i="5"/>
  <c r="E8" i="5"/>
  <c r="F7" i="5"/>
  <c r="E7" i="5"/>
  <c r="F6" i="5"/>
  <c r="E6" i="5"/>
  <c r="F5" i="5"/>
  <c r="E5" i="5"/>
  <c r="D16" i="4"/>
  <c r="C16" i="4"/>
  <c r="B16" i="4"/>
  <c r="D14" i="4"/>
  <c r="C14" i="4"/>
  <c r="B14" i="4"/>
  <c r="D13" i="4"/>
  <c r="C13" i="4"/>
  <c r="B13" i="4"/>
  <c r="D11" i="4"/>
  <c r="C11" i="4"/>
  <c r="B11" i="4"/>
  <c r="D10" i="4"/>
  <c r="C10" i="4"/>
  <c r="B10" i="4"/>
  <c r="D8" i="4"/>
  <c r="C8" i="4"/>
  <c r="B8" i="4"/>
  <c r="D7" i="4"/>
  <c r="C7" i="4"/>
  <c r="B7" i="4"/>
  <c r="D6" i="4"/>
  <c r="C6" i="4"/>
  <c r="B6" i="4"/>
  <c r="D43" i="3"/>
  <c r="C43" i="3"/>
  <c r="D40" i="3"/>
  <c r="C40" i="3"/>
  <c r="B40" i="3"/>
  <c r="D30" i="3"/>
  <c r="C30" i="3"/>
  <c r="B30" i="3"/>
  <c r="D12" i="3"/>
  <c r="D18" i="3" s="1"/>
  <c r="D21" i="3" s="1"/>
  <c r="D42" i="3" s="1"/>
  <c r="D44" i="3" s="1"/>
  <c r="C12" i="3"/>
  <c r="C18" i="3" s="1"/>
  <c r="C21" i="3" s="1"/>
  <c r="C42" i="3" s="1"/>
  <c r="C44" i="3" s="1"/>
  <c r="B12" i="3"/>
  <c r="B18" i="3" s="1"/>
  <c r="B21" i="3" s="1"/>
  <c r="B42" i="3" s="1"/>
  <c r="B44" i="3" s="1"/>
  <c r="D76" i="2"/>
  <c r="C76" i="2"/>
  <c r="B76" i="2"/>
  <c r="D64" i="2"/>
  <c r="C64" i="2"/>
  <c r="B64" i="2"/>
  <c r="D54" i="2"/>
  <c r="D66" i="2" s="1"/>
  <c r="D80" i="2" s="1"/>
  <c r="C54" i="2"/>
  <c r="C66" i="2" s="1"/>
  <c r="C80" i="2" s="1"/>
  <c r="B54" i="2"/>
  <c r="B66" i="2" s="1"/>
  <c r="B80" i="2" s="1"/>
  <c r="D39" i="2"/>
  <c r="D82" i="2" s="1"/>
  <c r="D37" i="2"/>
  <c r="C37" i="2"/>
  <c r="B37" i="2"/>
  <c r="D17" i="2"/>
  <c r="C17" i="2"/>
  <c r="C39" i="2" s="1"/>
  <c r="C82" i="2" s="1"/>
  <c r="B17" i="2"/>
  <c r="B39" i="2" s="1"/>
  <c r="B82" i="2" l="1"/>
</calcChain>
</file>

<file path=xl/sharedStrings.xml><?xml version="1.0" encoding="utf-8"?>
<sst xmlns="http://schemas.openxmlformats.org/spreadsheetml/2006/main" count="201" uniqueCount="174">
  <si>
    <t>TCS Consolidated Income Statement (USD Million)</t>
  </si>
  <si>
    <t>Source: IFRS Accounting Standards</t>
  </si>
  <si>
    <t>Particulars</t>
  </si>
  <si>
    <t>FY 2023</t>
  </si>
  <si>
    <t>FY 2024</t>
  </si>
  <si>
    <t>FY 2025</t>
  </si>
  <si>
    <t>REVENUE</t>
  </si>
  <si>
    <t>IT and Consultancy Services</t>
  </si>
  <si>
    <t>Equipment &amp; Software Licenses</t>
  </si>
  <si>
    <t>Total Revenue</t>
  </si>
  <si>
    <t>COST OF REVENUES</t>
  </si>
  <si>
    <t>Employee Cost</t>
  </si>
  <si>
    <t>Fees to External Consultants</t>
  </si>
  <si>
    <t>Equipment &amp; Software Cost</t>
  </si>
  <si>
    <t>Depreciation</t>
  </si>
  <si>
    <t>Travel</t>
  </si>
  <si>
    <t>Communication</t>
  </si>
  <si>
    <t>Facility Expenses</t>
  </si>
  <si>
    <t>Other Expenses</t>
  </si>
  <si>
    <t>Total Cost of Revenues</t>
  </si>
  <si>
    <t>GROSS PROFIT</t>
  </si>
  <si>
    <t>OPERATING EXPENSES</t>
  </si>
  <si>
    <t>Provision for Doubtful Debts</t>
  </si>
  <si>
    <t>Total Operating Expenses</t>
  </si>
  <si>
    <t>OPERATING INCOME</t>
  </si>
  <si>
    <t>Other Income / (Expense)</t>
  </si>
  <si>
    <t>INCOME BEFORE TAX</t>
  </si>
  <si>
    <t>Income Tax Expense</t>
  </si>
  <si>
    <t>INCOME AFTER TAX</t>
  </si>
  <si>
    <t>Non-controlling Interests</t>
  </si>
  <si>
    <t>NET PROFIT</t>
  </si>
  <si>
    <t>METRICS</t>
  </si>
  <si>
    <t>Earnings Per Share (EPS)</t>
  </si>
  <si>
    <t>TCS CONSOLIDATED BALANCE SHEET (USD Million)</t>
  </si>
  <si>
    <t>As per IFRS Accounting Standards | USD Million</t>
  </si>
  <si>
    <t>(As at March 31)</t>
  </si>
  <si>
    <t>A. ASSETS</t>
  </si>
  <si>
    <t>I. CURRENT ASSETS</t>
  </si>
  <si>
    <t>1. Cash and Cash Equivalents</t>
  </si>
  <si>
    <t>2. Bank Deposits</t>
  </si>
  <si>
    <t>3. Trade Receivables</t>
  </si>
  <si>
    <t>4. Investments (Current)</t>
  </si>
  <si>
    <t>5. Other Current Financial Assets</t>
  </si>
  <si>
    <t>6. Unbilled Receivables</t>
  </si>
  <si>
    <t>7. Current Income Tax Assets</t>
  </si>
  <si>
    <t>8. Other Current Assets</t>
  </si>
  <si>
    <t>Total Current Assets (I)</t>
  </si>
  <si>
    <t>II. NON-CURRENT ASSETS</t>
  </si>
  <si>
    <t>A. Financial Assets</t>
  </si>
  <si>
    <t>1. Bank Deposits (Non-Current)</t>
  </si>
  <si>
    <t>2. Investments (Non-Current)</t>
  </si>
  <si>
    <t>3. Trade Receivables (Non-Current)</t>
  </si>
  <si>
    <t>4. Unbilled Receivables (Non-Current)</t>
  </si>
  <si>
    <t>5. Other Non-Current Financial Assets</t>
  </si>
  <si>
    <t>B. Tax Assets</t>
  </si>
  <si>
    <t>6. Non-Current Income Tax Assets</t>
  </si>
  <si>
    <t>7. Deferred Income Tax Assets</t>
  </si>
  <si>
    <t>C. Property, Plant &amp; Equipment</t>
  </si>
  <si>
    <t>8. Property, Plant and Equipment</t>
  </si>
  <si>
    <t>D. Intangible Assets &amp; Goodwill</t>
  </si>
  <si>
    <t>9. Other Intangible Assets</t>
  </si>
  <si>
    <t>10. Right-of-Use Assets</t>
  </si>
  <si>
    <t>11. Goodwill</t>
  </si>
  <si>
    <t>E. Other Assets</t>
  </si>
  <si>
    <t>12. Other Non-Current Assets</t>
  </si>
  <si>
    <t>Total Non-Current Assets (II)</t>
  </si>
  <si>
    <t>TOTAL ASSETS (I + II)</t>
  </si>
  <si>
    <t>B. LIABILITIES AND SHAREHOLDERS EQUITY</t>
  </si>
  <si>
    <t>I. CURRENT LIABILITIES</t>
  </si>
  <si>
    <t>1. Trade and Other Payables</t>
  </si>
  <si>
    <t>2. Borrowings (Current)</t>
  </si>
  <si>
    <t>3. Lease Liabilities (Current)</t>
  </si>
  <si>
    <t>4. Other Current Financial Liabilities</t>
  </si>
  <si>
    <t>5. Unearned and Deferred Revenue (Current)</t>
  </si>
  <si>
    <t>6. Employee Benefit Obligations (Current)</t>
  </si>
  <si>
    <t>7. Other Provisions</t>
  </si>
  <si>
    <t>8. Current Income Tax Liabilities</t>
  </si>
  <si>
    <t>9. Other Current Liabilities</t>
  </si>
  <si>
    <t>Total Current Liabilities (I)</t>
  </si>
  <si>
    <t>II. NON-CURRENT LIABILITIES</t>
  </si>
  <si>
    <t>1. Borrowings (Non-Current)</t>
  </si>
  <si>
    <t>2. Lease Liabilities (Non-Current)</t>
  </si>
  <si>
    <t>3. Other Non-Current Financial Liabilities</t>
  </si>
  <si>
    <t>4. Unearned and Deferred Revenue (Non-Current)</t>
  </si>
  <si>
    <t>5. Employee Benefit Obligations (Non-Current)</t>
  </si>
  <si>
    <t>6. Deferred Income Tax Liabilities</t>
  </si>
  <si>
    <t>7. Other Non-Current Liabilities</t>
  </si>
  <si>
    <t>Total Non-Current Liabilities (II)</t>
  </si>
  <si>
    <t>TOTAL LIABILITIES (I + II)</t>
  </si>
  <si>
    <t>II. SHAREHOLDERS EQUITY</t>
  </si>
  <si>
    <t>A. Capital &amp; Premium</t>
  </si>
  <si>
    <t>1. Share Capital</t>
  </si>
  <si>
    <t>2. Share Premium</t>
  </si>
  <si>
    <t>B. Reserves &amp; Earnings</t>
  </si>
  <si>
    <t>3. Retained Earnings</t>
  </si>
  <si>
    <t>4. Accumulated Other Comprehensive Income/(Loss)</t>
  </si>
  <si>
    <t>Total Shareholders Equity attributable to TCS Ltd</t>
  </si>
  <si>
    <t>C. Non-Controlling Interests</t>
  </si>
  <si>
    <t>TOTAL LIABILITIES AND SHAREHOLDERS EQUITY</t>
  </si>
  <si>
    <t>TCS CONSOLIDATED CASH FLOW STATEMENT</t>
  </si>
  <si>
    <t>(Indirect Method - USD Million)</t>
  </si>
  <si>
    <t>A. CASH FLOWS FROM OPERATING ACTIVITIES</t>
  </si>
  <si>
    <t>Net Profit before Tax</t>
  </si>
  <si>
    <t>Adjustments:</t>
  </si>
  <si>
    <t xml:space="preserve">  Depreciation &amp; Amortization</t>
  </si>
  <si>
    <t xml:space="preserve">  Finance Costs</t>
  </si>
  <si>
    <t xml:space="preserve">  Other non-cash charges</t>
  </si>
  <si>
    <t>Operating Profit Before Working Capital Changes</t>
  </si>
  <si>
    <t>Changes in Working Capital:</t>
  </si>
  <si>
    <t xml:space="preserve">  (Increase) / Decrease in Trade Receivables</t>
  </si>
  <si>
    <t xml:space="preserve">  (Increase) / Decrease in Other Receivables</t>
  </si>
  <si>
    <t xml:space="preserve">  Increase / (Decrease) in Trade Payables</t>
  </si>
  <si>
    <t xml:space="preserve">  Increase / (Decrease) in Other Payables</t>
  </si>
  <si>
    <t>Cash Generated from Operating Activities</t>
  </si>
  <si>
    <t>Income Tax Paid</t>
  </si>
  <si>
    <t>Net Cash from Operating Activities</t>
  </si>
  <si>
    <t>B. CASH FLOWS FROM INVESTING ACTIVITIES</t>
  </si>
  <si>
    <t>(Purchases) / Sales of Property, Plant &amp; Equipment</t>
  </si>
  <si>
    <t>(Purchases) / Sales of Investments</t>
  </si>
  <si>
    <t>Interest Received</t>
  </si>
  <si>
    <t>Dividends Received</t>
  </si>
  <si>
    <t>Net Cash from Investing Activities</t>
  </si>
  <si>
    <t>C. CASH FLOWS FROM FINANCING ACTIVITIES</t>
  </si>
  <si>
    <t>Proceeds from Borrowings</t>
  </si>
  <si>
    <t>Repayment of Borrowings</t>
  </si>
  <si>
    <t>Lease Payments</t>
  </si>
  <si>
    <t>Dividends Paid</t>
  </si>
  <si>
    <t>Employee Share-based Payments</t>
  </si>
  <si>
    <t>Net Cash from Financing Activities</t>
  </si>
  <si>
    <t>Net Increase / (Decrease) in Cash</t>
  </si>
  <si>
    <t>Cash and Cash Equivalents at Beginning of Year</t>
  </si>
  <si>
    <t>Cash and Cash Equivalents at End of Year</t>
  </si>
  <si>
    <t>TCS — KEY FINANCIAL RATIOS (USD Million)</t>
  </si>
  <si>
    <t>Source: Income Statement &amp; Balance Sheet (IFRS, USD Million) | FY 2023–FY 2025</t>
  </si>
  <si>
    <t>Ratio</t>
  </si>
  <si>
    <t>Formula / Notes</t>
  </si>
  <si>
    <t>PROFITABILITY RATIOS</t>
  </si>
  <si>
    <t>1. Gross Profit Margin</t>
  </si>
  <si>
    <t>Gross Profit ÷ Total Revenue</t>
  </si>
  <si>
    <t>2. Operating Profit Margin (EBIT Margin)</t>
  </si>
  <si>
    <t>Operating Income ÷ Total Revenue</t>
  </si>
  <si>
    <t>3. Net Profit Margin</t>
  </si>
  <si>
    <t>Net Profit ÷ Total Revenue</t>
  </si>
  <si>
    <t>RETURN RATIOS</t>
  </si>
  <si>
    <t>4. Return on Equity (ROE)</t>
  </si>
  <si>
    <t>Net Profit ÷ Total Shareholders Equity (incl. NCI)</t>
  </si>
  <si>
    <t>5. Return on Assets (ROA)</t>
  </si>
  <si>
    <t>Net Profit ÷ Total Assets</t>
  </si>
  <si>
    <t>LIQUIDITY RATIOS</t>
  </si>
  <si>
    <t>6. Current Ratio</t>
  </si>
  <si>
    <t>Current Assets ÷ Current Liabilities</t>
  </si>
  <si>
    <t>7. Quick Ratio (Acid Test)</t>
  </si>
  <si>
    <t>(Current Assets − Other Current Assets) ÷ Current Liabilities</t>
  </si>
  <si>
    <t>LEVERAGE / SOLVENCY RATIOS</t>
  </si>
  <si>
    <t>8. Debt-to-Equity Ratio</t>
  </si>
  <si>
    <t>Lease Liabilities (Cur. + Non-Cur.) ÷ Shareholders Equity (TCS has zero financial debt)</t>
  </si>
  <si>
    <t>9. Interest Coverage Ratio (EBIT / Finance Costs)</t>
  </si>
  <si>
    <t>N/A</t>
  </si>
  <si>
    <t>N/A — TCS carries no financial debt; finance costs = 0</t>
  </si>
  <si>
    <t xml:space="preserve">Balance Check (Assets − L&amp;SE) </t>
  </si>
  <si>
    <t>TCS — Revenue &amp; Profit Trend (USD Million)</t>
  </si>
  <si>
    <t>Source: TCS Consolidated Income Statement | IFRS Accounting Standards</t>
  </si>
  <si>
    <t>Metric</t>
  </si>
  <si>
    <t>FY23→FY24 Growth</t>
  </si>
  <si>
    <t>FY24→FY25 Growth</t>
  </si>
  <si>
    <t>Gross Profit</t>
  </si>
  <si>
    <t>Operating Income</t>
  </si>
  <si>
    <t>Net Profit</t>
  </si>
  <si>
    <t>Margin Analysis</t>
  </si>
  <si>
    <t>FY23→FY24 Δ</t>
  </si>
  <si>
    <t>FY24→FY25 Δ</t>
  </si>
  <si>
    <t>Gross Margin</t>
  </si>
  <si>
    <t>Operating Margin</t>
  </si>
  <si>
    <t>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</si>
</sst>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0.00;\(0.00\);\-"/>
    <numFmt numFmtId="166" formatCode="0.0%"/>
  </numFmts>
  <fonts count="29" x14ac:knownFonts="1">
    <font>
      <sz val="11"/>
      <color theme="1"/>
      <name val="Calibri"/>
      <family val="2"/>
      <charset val="1"/>
    </font>
    <font>
      <b/>
      <sz val="14"/>
      <name val="Calibri"/>
      <family val="2"/>
      <charset val="1"/>
    </font>
    <font>
      <i/>
      <sz val="9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name val="Calibri"/>
      <family val="2"/>
      <charset val="1"/>
    </font>
    <font>
      <b/>
      <sz val="13"/>
      <name val="Calibri"/>
      <family val="2"/>
      <charset val="1"/>
    </font>
    <font>
      <i/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11"/>
      <color rgb="FF000000"/>
      <name val="Cambria"/>
      <family val="1"/>
    </font>
    <font>
      <b/>
      <i/>
      <sz val="9"/>
      <name val="Calibri"/>
      <family val="2"/>
      <charset val="1"/>
    </font>
    <font>
      <sz val="11"/>
      <color rgb="FFFF0000"/>
      <name val="Cambria"/>
      <family val="1"/>
    </font>
    <font>
      <b/>
      <sz val="13"/>
      <color rgb="FFFFFF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80"/>
      <name val="Arial"/>
      <family val="2"/>
      <charset val="1"/>
    </font>
    <font>
      <i/>
      <sz val="9"/>
      <color theme="1"/>
      <name val="Arial"/>
      <family val="2"/>
      <charset val="1"/>
    </font>
    <font>
      <sz val="10"/>
      <color rgb="FF595959"/>
      <name val="Arial"/>
      <family val="2"/>
      <charset val="1"/>
    </font>
    <font>
      <sz val="11"/>
      <color theme="0"/>
      <name val="Cambria"/>
      <family val="1"/>
    </font>
    <font>
      <b/>
      <sz val="13"/>
      <color rgb="FF000000"/>
      <name val="Arial"/>
      <family val="2"/>
    </font>
    <font>
      <i/>
      <sz val="9"/>
      <color rgb="FF595855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3366"/>
        <bgColor rgb="FF1F3864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E8EEF7"/>
      </patternFill>
    </fill>
    <fill>
      <patternFill patternType="solid">
        <fgColor rgb="FF2E75B6"/>
        <bgColor rgb="FF4472C4"/>
      </patternFill>
    </fill>
    <fill>
      <patternFill patternType="solid">
        <fgColor rgb="FF5B9BD5"/>
        <bgColor rgb="FF4472C4"/>
      </patternFill>
    </fill>
    <fill>
      <patternFill patternType="solid">
        <fgColor rgb="FFE8EEF7"/>
        <bgColor rgb="FFF2F2F2"/>
      </patternFill>
    </fill>
    <fill>
      <patternFill patternType="solid">
        <fgColor rgb="FF203864"/>
        <bgColor rgb="FF1F3864"/>
      </patternFill>
    </fill>
    <fill>
      <patternFill patternType="solid">
        <fgColor rgb="FF1F3864"/>
        <bgColor rgb="FF203864"/>
      </patternFill>
    </fill>
    <fill>
      <patternFill patternType="solid">
        <fgColor rgb="FFF2F2F2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D6E4F0"/>
        <bgColor rgb="FFD5F0E4"/>
      </patternFill>
    </fill>
    <fill>
      <patternFill patternType="solid">
        <fgColor rgb="FFD5F0E4"/>
        <bgColor rgb="FFD6E4F0"/>
      </patternFill>
    </fill>
    <fill>
      <patternFill patternType="solid">
        <fgColor rgb="FFE8E6FA"/>
        <bgColor rgb="FFF1EFE8"/>
      </patternFill>
    </fill>
    <fill>
      <patternFill patternType="solid">
        <fgColor rgb="FFFAE5DC"/>
        <bgColor rgb="FFF1EFE8"/>
      </patternFill>
    </fill>
    <fill>
      <patternFill patternType="solid">
        <fgColor rgb="FF595855"/>
        <bgColor rgb="FF333333"/>
      </patternFill>
    </fill>
    <fill>
      <patternFill patternType="solid">
        <fgColor rgb="FFF1EFE8"/>
        <bgColor rgb="FFFAE5D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0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/>
    </xf>
    <xf numFmtId="3" fontId="8" fillId="0" borderId="4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0" borderId="0" xfId="0" applyFont="1"/>
    <xf numFmtId="0" fontId="16" fillId="9" borderId="5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8" fillId="0" borderId="1" xfId="0" applyFont="1" applyBorder="1" applyAlignment="1">
      <alignment horizontal="left" vertical="center" indent="1"/>
    </xf>
    <xf numFmtId="164" fontId="19" fillId="10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165" fontId="19" fillId="10" borderId="1" xfId="0" applyNumberFormat="1" applyFont="1" applyFill="1" applyBorder="1" applyAlignment="1">
      <alignment horizontal="center" vertical="center"/>
    </xf>
    <xf numFmtId="49" fontId="21" fillId="10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1" fillId="4" borderId="1" xfId="0" applyFont="1" applyFill="1" applyBorder="1"/>
    <xf numFmtId="0" fontId="11" fillId="0" borderId="0" xfId="0" applyFont="1"/>
    <xf numFmtId="3" fontId="11" fillId="0" borderId="1" xfId="0" applyNumberFormat="1" applyFont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1" fillId="8" borderId="1" xfId="0" applyFont="1" applyFill="1" applyBorder="1"/>
    <xf numFmtId="0" fontId="22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5" fillId="11" borderId="6" xfId="0" applyFont="1" applyFill="1" applyBorder="1" applyAlignment="1">
      <alignment horizontal="center" vertical="center" wrapText="1"/>
    </xf>
    <xf numFmtId="0" fontId="25" fillId="16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12" borderId="6" xfId="0" applyFont="1" applyFill="1" applyBorder="1" applyAlignment="1">
      <alignment horizontal="center" vertical="center"/>
    </xf>
    <xf numFmtId="3" fontId="27" fillId="0" borderId="6" xfId="0" applyNumberFormat="1" applyFont="1" applyBorder="1" applyAlignment="1">
      <alignment horizontal="center"/>
    </xf>
    <xf numFmtId="166" fontId="28" fillId="0" borderId="6" xfId="0" applyNumberFormat="1" applyFont="1" applyBorder="1" applyAlignment="1">
      <alignment horizontal="center"/>
    </xf>
    <xf numFmtId="0" fontId="26" fillId="13" borderId="6" xfId="0" applyFont="1" applyFill="1" applyBorder="1" applyAlignment="1">
      <alignment horizontal="center" vertical="center"/>
    </xf>
    <xf numFmtId="0" fontId="26" fillId="14" borderId="6" xfId="0" applyFont="1" applyFill="1" applyBorder="1" applyAlignment="1">
      <alignment horizontal="center" vertical="center"/>
    </xf>
    <xf numFmtId="0" fontId="26" fillId="15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6" fillId="17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2F2"/>
      <rgbColor rgb="FFE8EEF7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3864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TCS Revenue &amp; Profit Trend (USD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rgbClr val="4472C4"/>
            </a:solidFill>
            <a:ln w="9360">
              <a:solidFill>
                <a:srgbClr val="4472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&amp; Profit Trend'!$B$4:$D$4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'[1]Revenue &amp; Profit Trend'!$B$5:$D$5</c:f>
              <c:numCache>
                <c:formatCode>#,##0</c:formatCode>
                <c:ptCount val="3"/>
                <c:pt idx="0">
                  <c:v>27927</c:v>
                </c:pt>
                <c:pt idx="1">
                  <c:v>29080</c:v>
                </c:pt>
                <c:pt idx="2">
                  <c:v>30179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2-5A46-8B1E-891C53220B9B}"/>
            </c:ext>
          </c:extLst>
        </c:ser>
        <c:ser>
          <c:idx val="1"/>
          <c:order val="1"/>
          <c:tx>
            <c:v>Gross Profit</c:v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&amp; Profit Trend'!$B$4:$D$4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'[1]Revenue &amp; Profit Trend'!$B$6:$D$6</c:f>
              <c:numCache>
                <c:formatCode>#,##0</c:formatCode>
                <c:ptCount val="3"/>
                <c:pt idx="0">
                  <c:v>11043</c:v>
                </c:pt>
                <c:pt idx="1">
                  <c:v>11745</c:v>
                </c:pt>
                <c:pt idx="2">
                  <c:v>11741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2-5A46-8B1E-891C53220B9B}"/>
            </c:ext>
          </c:extLst>
        </c:ser>
        <c:ser>
          <c:idx val="2"/>
          <c:order val="2"/>
          <c:tx>
            <c:v>Operating Income</c:v>
          </c:tx>
          <c:spPr>
            <a:solidFill>
              <a:srgbClr val="7F77DD"/>
            </a:solidFill>
            <a:ln w="9360">
              <a:solidFill>
                <a:srgbClr val="7F77DD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&amp; Profit Trend'!$B$4:$D$4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'[1]Revenue &amp; Profit Trend'!$B$7:$D$7</c:f>
              <c:numCache>
                <c:formatCode>#,##0</c:formatCode>
                <c:ptCount val="3"/>
                <c:pt idx="0">
                  <c:v>6714</c:v>
                </c:pt>
                <c:pt idx="1">
                  <c:v>7158</c:v>
                </c:pt>
                <c:pt idx="2">
                  <c:v>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2-5A46-8B1E-891C53220B9B}"/>
            </c:ext>
          </c:extLst>
        </c:ser>
        <c:ser>
          <c:idx val="3"/>
          <c:order val="3"/>
          <c:tx>
            <c:v>Net Profit</c:v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&amp; Profit Trend'!$B$4:$D$4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'[1]Revenue &amp; Profit Trend'!$B$8:$D$8</c:f>
              <c:numCache>
                <c:formatCode>#,##0</c:formatCode>
                <c:ptCount val="3"/>
                <c:pt idx="0">
                  <c:v>5219</c:v>
                </c:pt>
                <c:pt idx="1">
                  <c:v>5623</c:v>
                </c:pt>
                <c:pt idx="2">
                  <c:v>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32-5A46-8B1E-891C5322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56950186"/>
        <c:axId val="42386303"/>
      </c:barChart>
      <c:lineChart>
        <c:grouping val="standard"/>
        <c:varyColors val="0"/>
        <c:ser>
          <c:idx val="4"/>
          <c:order val="4"/>
          <c:tx>
            <c:v>Net Profit Margin</c:v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&amp; Profit Trend'!$B$4:$D$4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'[1]Revenue &amp; Profit Trend'!$B$13:$D$13</c:f>
              <c:numCache>
                <c:formatCode>0.0%</c:formatCode>
                <c:ptCount val="3"/>
                <c:pt idx="0">
                  <c:v>0.18688008020911662</c:v>
                </c:pt>
                <c:pt idx="1">
                  <c:v>0.19336313617606601</c:v>
                </c:pt>
                <c:pt idx="2">
                  <c:v>0.1901653467643063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532-5A46-8B1E-891C5322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0969208"/>
        <c:axId val="22348371"/>
      </c:lineChart>
      <c:catAx>
        <c:axId val="569501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86303"/>
        <c:crosses val="autoZero"/>
        <c:auto val="1"/>
        <c:lblAlgn val="ctr"/>
        <c:lblOffset val="100"/>
        <c:noMultiLvlLbl val="0"/>
      </c:catAx>
      <c:valAx>
        <c:axId val="42386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Million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50186"/>
        <c:crosses val="autoZero"/>
        <c:crossBetween val="between"/>
      </c:valAx>
      <c:catAx>
        <c:axId val="50969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348371"/>
        <c:crosses val="autoZero"/>
        <c:auto val="1"/>
        <c:lblAlgn val="ctr"/>
        <c:lblOffset val="100"/>
        <c:noMultiLvlLbl val="0"/>
      </c:catAx>
      <c:valAx>
        <c:axId val="2234837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96920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25400</xdr:rowOff>
    </xdr:from>
    <xdr:to>
      <xdr:col>5</xdr:col>
      <xdr:colOff>0</xdr:colOff>
      <xdr:row>31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85C8D4-4156-6AD8-8A57-0C53B7E64A5D}"/>
            </a:ext>
          </a:extLst>
        </xdr:cNvPr>
        <xdr:cNvSpPr txBox="1"/>
      </xdr:nvSpPr>
      <xdr:spPr>
        <a:xfrm>
          <a:off x="0" y="4800600"/>
          <a:ext cx="15684500" cy="238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TCS Financial Health &amp; Performance Analysis (FY2023–FY2025)</a:t>
          </a:r>
          <a:endParaRPr lang="en-GB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TCS demonstrates robust financial health across the three-year period, underpinned by consistent revenue growth from $27.9bn in FY23 to $30.2bn in FY25 — a cumulative 8% increase. Profitability remains a standout strength: net profit margins held steady around 18.7–19.0%, with net profit rising from $5.2bn to $5.7bn. The balance sheet is exceptionally clean — zero debt across all three years, with total assets growing from $17.7bn to $18.9bn. Liquidity is comfortable, with current assets covering current liabilities at a ratio of approximately 2.3x throughout the period. Shareholder returns are well-supported, as evidenced by rising retained earnings (recovering from $14.0bn in FY24 back to $16.2bn in FY25 after likely elevated dividend payouts) and stable NCI. The EPS progression from $1.43 to $1.59 further confirms disciplined value creation for shareholders.</a:t>
          </a:r>
        </a:p>
        <a:p>
          <a:r>
            <a:rPr lang="en-GB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the trend and operational side, a few observations warrant attention. Revenue growth is decelerating — the year-on-year increase slowed from 4.1% (FY23→FY24) to 3.8% (FY24→FY25), reflecting broader IT spending caution in global markets. Gross profit margin came under mild pressure in FY25 (38.9% vs. 40.4% in FY24), driven primarily by a sharp spike in Equipment &amp; Software costs ($231mn → $1,376mn over two years), likely reflecting increased infrastructure and cloud-related spend as TCS scales its platform and AI capabilities. This was partially offset by a significant reduction in external consultant fees ($2.6bn → $1.3bn), suggesting a strategic shift toward in-house talent deployment. Operating income, however, held up well at $7.3bn in FY25, reflecting strong cost discipline at the SG&amp;A level. The accumulated other comprehensive loss deepening to -$4.98bn in FY25 (from -$3.35bn in FY23) is worth monitoring — this likely reflects adverse currency translation effects given TCS's heavy USD/EUR revenue exposure against an INR cost base. Overall, TCS presents as a financially fortress-like business navigating a period of moderating demand with disciplined execution.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38100</xdr:rowOff>
    </xdr:from>
    <xdr:to>
      <xdr:col>6</xdr:col>
      <xdr:colOff>812800</xdr:colOff>
      <xdr:row>37</xdr:row>
      <xdr:rowOff>145740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FFD2E-53D4-8E44-8A93-E83E15D01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k/Downloads/TCS_Revenue_Profit_Chart.xlsx" TargetMode="External"/><Relationship Id="rId1" Type="http://schemas.openxmlformats.org/officeDocument/2006/relationships/externalLinkPath" Target="/Users/mark/Downloads/TCS_Revenue_Profit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&amp; Profit Trend"/>
    </sheetNames>
    <sheetDataSet>
      <sheetData sheetId="0">
        <row r="4">
          <cell r="B4" t="str">
            <v>FY 2023</v>
          </cell>
          <cell r="C4" t="str">
            <v>FY 2024</v>
          </cell>
          <cell r="D4" t="str">
            <v>FY 2025</v>
          </cell>
        </row>
        <row r="5">
          <cell r="B5">
            <v>27927</v>
          </cell>
          <cell r="C5">
            <v>29080</v>
          </cell>
          <cell r="D5">
            <v>30179</v>
          </cell>
        </row>
        <row r="6">
          <cell r="B6">
            <v>11043</v>
          </cell>
          <cell r="C6">
            <v>11745</v>
          </cell>
          <cell r="D6">
            <v>11741</v>
          </cell>
        </row>
        <row r="7">
          <cell r="B7">
            <v>6714</v>
          </cell>
          <cell r="C7">
            <v>7158</v>
          </cell>
          <cell r="D7">
            <v>7348</v>
          </cell>
        </row>
        <row r="8">
          <cell r="B8">
            <v>5219</v>
          </cell>
          <cell r="C8">
            <v>5623</v>
          </cell>
          <cell r="D8">
            <v>5739</v>
          </cell>
        </row>
        <row r="13">
          <cell r="B13">
            <v>0.18688008020911662</v>
          </cell>
          <cell r="C13">
            <v>0.19336313617606601</v>
          </cell>
          <cell r="D13">
            <v>0.1901653467643063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zoomScaleNormal="100" workbookViewId="0">
      <selection activeCell="K16" sqref="K16"/>
    </sheetView>
  </sheetViews>
  <sheetFormatPr baseColWidth="10" defaultColWidth="8.83203125" defaultRowHeight="15" x14ac:dyDescent="0.2"/>
  <cols>
    <col min="1" max="1" width="76" style="1" customWidth="1"/>
    <col min="2" max="2" width="46" style="1" customWidth="1"/>
    <col min="3" max="3" width="37.83203125" style="1" customWidth="1"/>
    <col min="4" max="4" width="57.1640625" style="1" customWidth="1"/>
    <col min="5" max="16384" width="8.83203125" style="1"/>
  </cols>
  <sheetData>
    <row r="1" spans="1:4" ht="18.75" customHeight="1" x14ac:dyDescent="0.25">
      <c r="A1" s="42" t="s">
        <v>0</v>
      </c>
      <c r="B1" s="42"/>
      <c r="C1" s="42"/>
      <c r="D1" s="42"/>
    </row>
    <row r="2" spans="1:4" ht="15" customHeight="1" x14ac:dyDescent="0.2">
      <c r="A2" s="43" t="s">
        <v>1</v>
      </c>
      <c r="B2" s="43"/>
      <c r="C2" s="43"/>
      <c r="D2" s="43"/>
    </row>
    <row r="4" spans="1:4" ht="15.75" customHeight="1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4" ht="15" customHeight="1" x14ac:dyDescent="0.2">
      <c r="A5" s="3" t="s">
        <v>6</v>
      </c>
      <c r="B5" s="4"/>
      <c r="C5" s="4"/>
      <c r="D5" s="4"/>
    </row>
    <row r="6" spans="1:4" ht="15" customHeight="1" x14ac:dyDescent="0.2">
      <c r="A6" s="5" t="s">
        <v>7</v>
      </c>
      <c r="B6" s="6">
        <v>27927</v>
      </c>
      <c r="C6" s="6">
        <v>29080</v>
      </c>
      <c r="D6" s="6">
        <v>30179</v>
      </c>
    </row>
    <row r="7" spans="1:4" ht="15" customHeight="1" x14ac:dyDescent="0.2">
      <c r="A7" s="5" t="s">
        <v>8</v>
      </c>
      <c r="B7" s="5"/>
      <c r="C7" s="5"/>
      <c r="D7" s="5"/>
    </row>
    <row r="8" spans="1:4" ht="15" customHeight="1" x14ac:dyDescent="0.2">
      <c r="A8" s="7" t="s">
        <v>9</v>
      </c>
      <c r="B8" s="8">
        <v>27927</v>
      </c>
      <c r="C8" s="8">
        <v>29080</v>
      </c>
      <c r="D8" s="8">
        <v>30179</v>
      </c>
    </row>
    <row r="9" spans="1:4" ht="15" customHeight="1" x14ac:dyDescent="0.2">
      <c r="A9" s="5"/>
      <c r="B9" s="5"/>
      <c r="C9" s="5"/>
      <c r="D9" s="5"/>
    </row>
    <row r="10" spans="1:4" ht="15" customHeight="1" x14ac:dyDescent="0.2">
      <c r="A10" s="3" t="s">
        <v>10</v>
      </c>
      <c r="B10" s="4"/>
      <c r="C10" s="4"/>
      <c r="D10" s="4"/>
    </row>
    <row r="11" spans="1:4" ht="15" customHeight="1" x14ac:dyDescent="0.2">
      <c r="A11" s="5" t="s">
        <v>11</v>
      </c>
      <c r="B11" s="6">
        <v>12284</v>
      </c>
      <c r="C11" s="6">
        <v>13188</v>
      </c>
      <c r="D11" s="6">
        <v>13668</v>
      </c>
    </row>
    <row r="12" spans="1:4" ht="15" customHeight="1" x14ac:dyDescent="0.2">
      <c r="A12" s="5" t="s">
        <v>12</v>
      </c>
      <c r="B12" s="6">
        <v>2559</v>
      </c>
      <c r="C12" s="6">
        <v>1810</v>
      </c>
      <c r="D12" s="6">
        <v>1305</v>
      </c>
    </row>
    <row r="13" spans="1:4" ht="15" customHeight="1" x14ac:dyDescent="0.2">
      <c r="A13" s="5" t="s">
        <v>13</v>
      </c>
      <c r="B13" s="6">
        <v>231</v>
      </c>
      <c r="C13" s="6">
        <v>446</v>
      </c>
      <c r="D13" s="6">
        <v>1376</v>
      </c>
    </row>
    <row r="14" spans="1:4" ht="15" customHeight="1" x14ac:dyDescent="0.2">
      <c r="A14" s="5" t="s">
        <v>14</v>
      </c>
      <c r="B14" s="6">
        <v>474</v>
      </c>
      <c r="C14" s="6">
        <v>461</v>
      </c>
      <c r="D14" s="6">
        <v>483</v>
      </c>
    </row>
    <row r="15" spans="1:4" ht="15" customHeight="1" x14ac:dyDescent="0.2">
      <c r="A15" s="5" t="s">
        <v>15</v>
      </c>
      <c r="B15" s="6">
        <v>225</v>
      </c>
      <c r="C15" s="6">
        <v>249</v>
      </c>
      <c r="D15" s="6">
        <v>276</v>
      </c>
    </row>
    <row r="16" spans="1:4" ht="15" customHeight="1" x14ac:dyDescent="0.2">
      <c r="A16" s="5" t="s">
        <v>16</v>
      </c>
      <c r="B16" s="6">
        <v>186</v>
      </c>
      <c r="C16" s="6">
        <v>178</v>
      </c>
      <c r="D16" s="6">
        <v>190</v>
      </c>
    </row>
    <row r="17" spans="1:4" ht="15" customHeight="1" x14ac:dyDescent="0.2">
      <c r="A17" s="5" t="s">
        <v>17</v>
      </c>
      <c r="B17" s="6">
        <v>205</v>
      </c>
      <c r="C17" s="6">
        <v>233</v>
      </c>
      <c r="D17" s="6">
        <v>255</v>
      </c>
    </row>
    <row r="18" spans="1:4" ht="15" customHeight="1" x14ac:dyDescent="0.2">
      <c r="A18" s="5" t="s">
        <v>18</v>
      </c>
      <c r="B18" s="6">
        <v>720</v>
      </c>
      <c r="C18" s="6">
        <v>770</v>
      </c>
      <c r="D18" s="6">
        <v>885</v>
      </c>
    </row>
    <row r="19" spans="1:4" ht="15" customHeight="1" x14ac:dyDescent="0.2">
      <c r="A19" s="7" t="s">
        <v>19</v>
      </c>
      <c r="B19" s="8">
        <v>16884</v>
      </c>
      <c r="C19" s="8">
        <v>17335</v>
      </c>
      <c r="D19" s="8">
        <v>18438</v>
      </c>
    </row>
    <row r="20" spans="1:4" ht="15" customHeight="1" x14ac:dyDescent="0.2">
      <c r="A20" s="5"/>
      <c r="B20" s="5"/>
      <c r="C20" s="5"/>
      <c r="D20" s="5"/>
    </row>
    <row r="21" spans="1:4" ht="15" customHeight="1" x14ac:dyDescent="0.2">
      <c r="A21" s="7" t="s">
        <v>20</v>
      </c>
      <c r="B21" s="8">
        <v>11043</v>
      </c>
      <c r="C21" s="8">
        <v>11745</v>
      </c>
      <c r="D21" s="8">
        <v>11741</v>
      </c>
    </row>
    <row r="22" spans="1:4" ht="15" customHeight="1" x14ac:dyDescent="0.2">
      <c r="A22" s="5"/>
      <c r="B22" s="5"/>
      <c r="C22" s="5"/>
      <c r="D22" s="5"/>
    </row>
    <row r="23" spans="1:4" ht="15" customHeight="1" x14ac:dyDescent="0.2">
      <c r="A23" s="3" t="s">
        <v>21</v>
      </c>
      <c r="B23" s="4"/>
      <c r="C23" s="4"/>
      <c r="D23" s="4"/>
    </row>
    <row r="24" spans="1:4" ht="15" customHeight="1" x14ac:dyDescent="0.2">
      <c r="A24" s="5" t="s">
        <v>11</v>
      </c>
      <c r="B24" s="6">
        <v>3515</v>
      </c>
      <c r="C24" s="6">
        <v>3729</v>
      </c>
      <c r="D24" s="6">
        <v>3565</v>
      </c>
    </row>
    <row r="25" spans="1:4" ht="15" customHeight="1" x14ac:dyDescent="0.2">
      <c r="A25" s="5" t="s">
        <v>12</v>
      </c>
      <c r="B25" s="6">
        <v>86</v>
      </c>
      <c r="C25" s="6">
        <v>101</v>
      </c>
      <c r="D25" s="6">
        <v>77</v>
      </c>
    </row>
    <row r="26" spans="1:4" ht="15" customHeight="1" x14ac:dyDescent="0.2">
      <c r="A26" s="5" t="s">
        <v>22</v>
      </c>
      <c r="B26" s="6">
        <v>17</v>
      </c>
      <c r="C26" s="6">
        <v>14</v>
      </c>
      <c r="D26" s="6">
        <v>15</v>
      </c>
    </row>
    <row r="27" spans="1:4" ht="15" customHeight="1" x14ac:dyDescent="0.2">
      <c r="A27" s="5" t="s">
        <v>14</v>
      </c>
      <c r="B27" s="6">
        <v>149</v>
      </c>
      <c r="C27" s="6">
        <v>141</v>
      </c>
      <c r="D27" s="6">
        <v>136</v>
      </c>
    </row>
    <row r="28" spans="1:4" ht="15" customHeight="1" x14ac:dyDescent="0.2">
      <c r="A28" s="5" t="s">
        <v>17</v>
      </c>
      <c r="B28" s="6">
        <v>124</v>
      </c>
      <c r="C28" s="6">
        <v>142</v>
      </c>
      <c r="D28" s="6">
        <v>153</v>
      </c>
    </row>
    <row r="29" spans="1:4" ht="15" customHeight="1" x14ac:dyDescent="0.2">
      <c r="A29" s="5" t="s">
        <v>15</v>
      </c>
      <c r="B29" s="6">
        <v>106</v>
      </c>
      <c r="C29" s="6">
        <v>110</v>
      </c>
      <c r="D29" s="6">
        <v>104</v>
      </c>
    </row>
    <row r="30" spans="1:4" ht="15" customHeight="1" x14ac:dyDescent="0.2">
      <c r="A30" s="5" t="s">
        <v>16</v>
      </c>
      <c r="B30" s="6">
        <v>92</v>
      </c>
      <c r="C30" s="6">
        <v>95</v>
      </c>
      <c r="D30" s="6">
        <v>90</v>
      </c>
    </row>
    <row r="31" spans="1:4" ht="15" customHeight="1" x14ac:dyDescent="0.2">
      <c r="A31" s="5" t="s">
        <v>18</v>
      </c>
      <c r="B31" s="6">
        <v>240</v>
      </c>
      <c r="C31" s="6">
        <v>255</v>
      </c>
      <c r="D31" s="6">
        <v>253</v>
      </c>
    </row>
    <row r="32" spans="1:4" ht="15" customHeight="1" x14ac:dyDescent="0.2">
      <c r="A32" s="7" t="s">
        <v>23</v>
      </c>
      <c r="B32" s="8">
        <v>4329</v>
      </c>
      <c r="C32" s="8">
        <v>4587</v>
      </c>
      <c r="D32" s="8">
        <v>4393</v>
      </c>
    </row>
    <row r="33" spans="1:4" ht="15" customHeight="1" x14ac:dyDescent="0.2">
      <c r="A33" s="5"/>
      <c r="B33" s="5"/>
      <c r="C33" s="5"/>
      <c r="D33" s="5"/>
    </row>
    <row r="34" spans="1:4" ht="15" customHeight="1" x14ac:dyDescent="0.2">
      <c r="A34" s="7" t="s">
        <v>24</v>
      </c>
      <c r="B34" s="8">
        <v>6714</v>
      </c>
      <c r="C34" s="8">
        <v>7158</v>
      </c>
      <c r="D34" s="8">
        <v>7348</v>
      </c>
    </row>
    <row r="35" spans="1:4" ht="15" customHeight="1" x14ac:dyDescent="0.2">
      <c r="A35" s="5"/>
      <c r="B35" s="5"/>
      <c r="C35" s="5"/>
      <c r="D35" s="5"/>
    </row>
    <row r="36" spans="1:4" ht="15" customHeight="1" x14ac:dyDescent="0.2">
      <c r="A36" s="5" t="s">
        <v>25</v>
      </c>
      <c r="B36" s="6">
        <v>332</v>
      </c>
      <c r="C36" s="6">
        <v>451</v>
      </c>
      <c r="D36" s="6">
        <v>374</v>
      </c>
    </row>
    <row r="37" spans="1:4" ht="15" customHeight="1" x14ac:dyDescent="0.2">
      <c r="A37" s="5"/>
      <c r="B37" s="5"/>
      <c r="C37" s="5"/>
      <c r="D37" s="5"/>
    </row>
    <row r="38" spans="1:4" ht="15" customHeight="1" x14ac:dyDescent="0.2">
      <c r="A38" s="7" t="s">
        <v>26</v>
      </c>
      <c r="B38" s="8">
        <v>7046</v>
      </c>
      <c r="C38" s="8">
        <v>7609</v>
      </c>
      <c r="D38" s="8">
        <v>7722</v>
      </c>
    </row>
    <row r="39" spans="1:4" ht="15" customHeight="1" x14ac:dyDescent="0.2">
      <c r="A39" s="5"/>
      <c r="B39" s="5"/>
      <c r="C39" s="5"/>
      <c r="D39" s="5"/>
    </row>
    <row r="40" spans="1:4" ht="15" customHeight="1" x14ac:dyDescent="0.2">
      <c r="A40" s="5" t="s">
        <v>27</v>
      </c>
      <c r="B40" s="6">
        <v>1808</v>
      </c>
      <c r="C40" s="6">
        <v>1963</v>
      </c>
      <c r="D40" s="6">
        <v>1954</v>
      </c>
    </row>
    <row r="41" spans="1:4" ht="15" customHeight="1" x14ac:dyDescent="0.2">
      <c r="A41" s="5"/>
      <c r="B41" s="5"/>
      <c r="C41" s="5"/>
      <c r="D41" s="5"/>
    </row>
    <row r="42" spans="1:4" ht="15" customHeight="1" x14ac:dyDescent="0.2">
      <c r="A42" s="7" t="s">
        <v>28</v>
      </c>
      <c r="B42" s="8">
        <v>5238</v>
      </c>
      <c r="C42" s="8">
        <v>5646</v>
      </c>
      <c r="D42" s="8">
        <v>5768</v>
      </c>
    </row>
    <row r="43" spans="1:4" ht="15" customHeight="1" x14ac:dyDescent="0.2">
      <c r="A43" s="5"/>
      <c r="B43" s="5"/>
      <c r="C43" s="5"/>
      <c r="D43" s="5"/>
    </row>
    <row r="44" spans="1:4" ht="15" customHeight="1" x14ac:dyDescent="0.2">
      <c r="A44" s="5" t="s">
        <v>29</v>
      </c>
      <c r="B44" s="6">
        <v>-19</v>
      </c>
      <c r="C44" s="6">
        <v>-23</v>
      </c>
      <c r="D44" s="6">
        <v>-29</v>
      </c>
    </row>
    <row r="45" spans="1:4" ht="15" customHeight="1" x14ac:dyDescent="0.2">
      <c r="A45" s="5"/>
      <c r="B45" s="5"/>
      <c r="C45" s="5"/>
      <c r="D45" s="5"/>
    </row>
    <row r="46" spans="1:4" ht="15" customHeight="1" x14ac:dyDescent="0.2">
      <c r="A46" s="7" t="s">
        <v>30</v>
      </c>
      <c r="B46" s="8">
        <v>5219</v>
      </c>
      <c r="C46" s="8">
        <v>5623</v>
      </c>
      <c r="D46" s="8">
        <v>5739</v>
      </c>
    </row>
    <row r="47" spans="1:4" ht="15" customHeight="1" x14ac:dyDescent="0.2">
      <c r="A47" s="5"/>
      <c r="B47" s="5"/>
      <c r="C47" s="5"/>
      <c r="D47" s="5"/>
    </row>
    <row r="48" spans="1:4" ht="15" customHeight="1" x14ac:dyDescent="0.2">
      <c r="A48" s="3" t="s">
        <v>31</v>
      </c>
      <c r="B48" s="4"/>
      <c r="C48" s="4"/>
      <c r="D48" s="4"/>
    </row>
    <row r="49" spans="1:4" ht="15" customHeight="1" x14ac:dyDescent="0.2">
      <c r="A49" s="5" t="s">
        <v>32</v>
      </c>
      <c r="B49" s="6">
        <v>1.43</v>
      </c>
      <c r="C49" s="6">
        <v>1.54</v>
      </c>
      <c r="D49" s="6">
        <v>1.59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zoomScaleNormal="100" workbookViewId="0">
      <selection activeCell="E12" sqref="E12"/>
    </sheetView>
  </sheetViews>
  <sheetFormatPr baseColWidth="10" defaultColWidth="10.83203125" defaultRowHeight="15" x14ac:dyDescent="0.2"/>
  <cols>
    <col min="1" max="1" width="48" style="1" customWidth="1"/>
    <col min="2" max="2" width="40.33203125" style="1" customWidth="1"/>
    <col min="3" max="3" width="44.83203125" style="1" customWidth="1"/>
    <col min="4" max="4" width="36" style="1" customWidth="1"/>
    <col min="5" max="16384" width="10.83203125" style="1"/>
  </cols>
  <sheetData>
    <row r="1" spans="1:4" ht="16.5" customHeight="1" x14ac:dyDescent="0.2">
      <c r="A1" s="44" t="s">
        <v>33</v>
      </c>
      <c r="B1" s="44"/>
      <c r="C1" s="44"/>
      <c r="D1" s="44"/>
    </row>
    <row r="2" spans="1:4" ht="15" customHeight="1" x14ac:dyDescent="0.2">
      <c r="A2" s="45" t="s">
        <v>34</v>
      </c>
      <c r="B2" s="45"/>
      <c r="C2" s="45"/>
      <c r="D2" s="45"/>
    </row>
    <row r="3" spans="1:4" ht="15" customHeight="1" x14ac:dyDescent="0.2">
      <c r="A3" s="43" t="s">
        <v>35</v>
      </c>
      <c r="B3" s="43"/>
      <c r="C3" s="43"/>
      <c r="D3" s="43"/>
    </row>
    <row r="4" spans="1:4" ht="15" customHeight="1" x14ac:dyDescent="0.2">
      <c r="A4" s="9"/>
      <c r="B4" s="9"/>
      <c r="C4" s="9"/>
      <c r="D4" s="9"/>
    </row>
    <row r="5" spans="1:4" ht="15" customHeight="1" x14ac:dyDescent="0.2">
      <c r="A5" s="10" t="s">
        <v>2</v>
      </c>
      <c r="B5" s="11" t="s">
        <v>3</v>
      </c>
      <c r="C5" s="11" t="s">
        <v>4</v>
      </c>
      <c r="D5" s="11" t="s">
        <v>5</v>
      </c>
    </row>
    <row r="6" spans="1:4" ht="15" customHeight="1" x14ac:dyDescent="0.2">
      <c r="A6" s="62" t="s">
        <v>36</v>
      </c>
      <c r="B6" s="62"/>
      <c r="C6" s="62"/>
      <c r="D6" s="62"/>
    </row>
    <row r="7" spans="1:4" ht="15" customHeight="1" x14ac:dyDescent="0.2">
      <c r="A7" s="12"/>
      <c r="B7" s="13"/>
      <c r="C7" s="13"/>
      <c r="D7" s="13"/>
    </row>
    <row r="8" spans="1:4" ht="15" customHeight="1" x14ac:dyDescent="0.2">
      <c r="A8" s="14" t="s">
        <v>37</v>
      </c>
      <c r="B8" s="15"/>
      <c r="C8" s="15"/>
      <c r="D8" s="15"/>
    </row>
    <row r="9" spans="1:4" ht="31.5" customHeight="1" x14ac:dyDescent="0.2">
      <c r="A9" s="12" t="s">
        <v>38</v>
      </c>
      <c r="B9" s="16">
        <v>866</v>
      </c>
      <c r="C9" s="16">
        <v>1081</v>
      </c>
      <c r="D9" s="16">
        <v>976</v>
      </c>
    </row>
    <row r="10" spans="1:4" ht="15.75" customHeight="1" x14ac:dyDescent="0.2">
      <c r="A10" s="12" t="s">
        <v>39</v>
      </c>
      <c r="B10" s="16">
        <v>392</v>
      </c>
      <c r="C10" s="16">
        <v>456</v>
      </c>
      <c r="D10" s="16">
        <v>727</v>
      </c>
    </row>
    <row r="11" spans="1:4" ht="15.75" customHeight="1" x14ac:dyDescent="0.2">
      <c r="A11" s="12" t="s">
        <v>40</v>
      </c>
      <c r="B11" s="16">
        <v>4992</v>
      </c>
      <c r="C11" s="16">
        <v>5328</v>
      </c>
      <c r="D11" s="16">
        <v>5869</v>
      </c>
    </row>
    <row r="12" spans="1:4" ht="15.75" customHeight="1" x14ac:dyDescent="0.2">
      <c r="A12" s="12" t="s">
        <v>41</v>
      </c>
      <c r="B12" s="16">
        <v>4487</v>
      </c>
      <c r="C12" s="16">
        <v>3776</v>
      </c>
      <c r="D12" s="16">
        <v>3592</v>
      </c>
    </row>
    <row r="13" spans="1:4" ht="31.5" customHeight="1" x14ac:dyDescent="0.2">
      <c r="A13" s="12" t="s">
        <v>42</v>
      </c>
      <c r="B13" s="16">
        <v>405</v>
      </c>
      <c r="C13" s="16">
        <v>320</v>
      </c>
      <c r="D13" s="16">
        <v>428</v>
      </c>
    </row>
    <row r="14" spans="1:4" ht="15.75" customHeight="1" x14ac:dyDescent="0.2">
      <c r="A14" s="12" t="s">
        <v>43</v>
      </c>
      <c r="B14" s="16">
        <v>1083</v>
      </c>
      <c r="C14" s="16">
        <v>1096</v>
      </c>
      <c r="D14" s="16">
        <v>1042</v>
      </c>
    </row>
    <row r="15" spans="1:4" ht="31.5" customHeight="1" x14ac:dyDescent="0.2">
      <c r="A15" s="12" t="s">
        <v>44</v>
      </c>
      <c r="B15" s="16">
        <v>1</v>
      </c>
      <c r="C15" s="16">
        <v>18</v>
      </c>
      <c r="D15" s="16">
        <v>30</v>
      </c>
    </row>
    <row r="16" spans="1:4" ht="15.75" customHeight="1" x14ac:dyDescent="0.2">
      <c r="A16" s="12" t="s">
        <v>45</v>
      </c>
      <c r="B16" s="16">
        <v>1185</v>
      </c>
      <c r="C16" s="16">
        <v>1475</v>
      </c>
      <c r="D16" s="16">
        <v>1730</v>
      </c>
    </row>
    <row r="17" spans="1:4" ht="15" customHeight="1" x14ac:dyDescent="0.2">
      <c r="A17" s="17" t="s">
        <v>46</v>
      </c>
      <c r="B17" s="18">
        <f>SUM(B9:B16)</f>
        <v>13411</v>
      </c>
      <c r="C17" s="18">
        <f>SUM(C9:C16)</f>
        <v>13550</v>
      </c>
      <c r="D17" s="18">
        <f>SUM(D9:D16)</f>
        <v>14394</v>
      </c>
    </row>
    <row r="18" spans="1:4" ht="15" customHeight="1" x14ac:dyDescent="0.2">
      <c r="A18" s="12"/>
      <c r="B18" s="13"/>
      <c r="C18" s="13"/>
      <c r="D18" s="13"/>
    </row>
    <row r="19" spans="1:4" ht="15" customHeight="1" x14ac:dyDescent="0.2">
      <c r="A19" s="14" t="s">
        <v>47</v>
      </c>
      <c r="B19" s="15"/>
      <c r="C19" s="15"/>
      <c r="D19" s="15"/>
    </row>
    <row r="20" spans="1:4" ht="15" customHeight="1" x14ac:dyDescent="0.2">
      <c r="A20" s="19" t="s">
        <v>48</v>
      </c>
      <c r="B20" s="20"/>
      <c r="C20" s="20"/>
      <c r="D20" s="20"/>
    </row>
    <row r="21" spans="1:4" ht="31.5" customHeight="1" x14ac:dyDescent="0.2">
      <c r="A21" s="12" t="s">
        <v>49</v>
      </c>
      <c r="B21" s="16">
        <v>162</v>
      </c>
      <c r="C21" s="16">
        <v>270</v>
      </c>
      <c r="D21" s="16">
        <v>200</v>
      </c>
    </row>
    <row r="22" spans="1:4" ht="31.5" customHeight="1" x14ac:dyDescent="0.2">
      <c r="A22" s="12" t="s">
        <v>50</v>
      </c>
      <c r="B22" s="16">
        <v>32</v>
      </c>
      <c r="C22" s="16">
        <v>34</v>
      </c>
      <c r="D22" s="16">
        <v>32</v>
      </c>
    </row>
    <row r="23" spans="1:4" ht="31.5" customHeight="1" x14ac:dyDescent="0.2">
      <c r="A23" s="12" t="s">
        <v>51</v>
      </c>
      <c r="B23" s="16">
        <v>18</v>
      </c>
      <c r="C23" s="16">
        <v>15</v>
      </c>
      <c r="D23" s="16">
        <v>11</v>
      </c>
    </row>
    <row r="24" spans="1:4" ht="31.5" customHeight="1" x14ac:dyDescent="0.2">
      <c r="A24" s="12" t="s">
        <v>52</v>
      </c>
      <c r="B24" s="16">
        <v>24</v>
      </c>
      <c r="C24" s="16">
        <v>2</v>
      </c>
      <c r="D24" s="16">
        <v>4</v>
      </c>
    </row>
    <row r="25" spans="1:4" ht="31.5" customHeight="1" x14ac:dyDescent="0.2">
      <c r="A25" s="12" t="s">
        <v>53</v>
      </c>
      <c r="B25" s="16">
        <v>120</v>
      </c>
      <c r="C25" s="16">
        <v>123</v>
      </c>
      <c r="D25" s="16">
        <v>123</v>
      </c>
    </row>
    <row r="26" spans="1:4" ht="15" customHeight="1" x14ac:dyDescent="0.2">
      <c r="A26" s="19" t="s">
        <v>54</v>
      </c>
      <c r="B26" s="20"/>
      <c r="C26" s="20"/>
      <c r="D26" s="20"/>
    </row>
    <row r="27" spans="1:4" ht="31.5" customHeight="1" x14ac:dyDescent="0.2">
      <c r="A27" s="12" t="s">
        <v>55</v>
      </c>
      <c r="B27" s="16">
        <v>314</v>
      </c>
      <c r="C27" s="16">
        <v>192</v>
      </c>
      <c r="D27" s="16">
        <v>184</v>
      </c>
    </row>
    <row r="28" spans="1:4" ht="31.5" customHeight="1" x14ac:dyDescent="0.2">
      <c r="A28" s="12" t="s">
        <v>56</v>
      </c>
      <c r="B28" s="16">
        <v>399</v>
      </c>
      <c r="C28" s="16">
        <v>405</v>
      </c>
      <c r="D28" s="16">
        <v>415</v>
      </c>
    </row>
    <row r="29" spans="1:4" ht="25.5" customHeight="1" x14ac:dyDescent="0.2">
      <c r="A29" s="19" t="s">
        <v>57</v>
      </c>
      <c r="B29" s="20"/>
      <c r="C29" s="20"/>
      <c r="D29" s="20"/>
    </row>
    <row r="30" spans="1:4" ht="31.5" customHeight="1" x14ac:dyDescent="0.2">
      <c r="A30" s="12" t="s">
        <v>58</v>
      </c>
      <c r="B30" s="16">
        <v>1410</v>
      </c>
      <c r="C30" s="16">
        <v>1346</v>
      </c>
      <c r="D30" s="16">
        <v>1514</v>
      </c>
    </row>
    <row r="31" spans="1:4" ht="25.5" customHeight="1" x14ac:dyDescent="0.2">
      <c r="A31" s="19" t="s">
        <v>59</v>
      </c>
      <c r="B31" s="20"/>
      <c r="C31" s="20"/>
      <c r="D31" s="20"/>
    </row>
    <row r="32" spans="1:4" ht="15.75" customHeight="1" x14ac:dyDescent="0.2">
      <c r="A32" s="12" t="s">
        <v>60</v>
      </c>
      <c r="B32" s="16">
        <v>105</v>
      </c>
      <c r="C32" s="16">
        <v>61</v>
      </c>
      <c r="D32" s="16">
        <v>109</v>
      </c>
    </row>
    <row r="33" spans="1:4" ht="15.75" customHeight="1" x14ac:dyDescent="0.2">
      <c r="A33" s="12" t="s">
        <v>61</v>
      </c>
      <c r="B33" s="16">
        <v>919</v>
      </c>
      <c r="C33" s="16">
        <v>946</v>
      </c>
      <c r="D33" s="16">
        <v>1086</v>
      </c>
    </row>
    <row r="34" spans="1:4" ht="31.5" customHeight="1" x14ac:dyDescent="0.2">
      <c r="A34" s="12" t="s">
        <v>62</v>
      </c>
      <c r="B34" s="16">
        <v>488</v>
      </c>
      <c r="C34" s="16">
        <v>478</v>
      </c>
      <c r="D34" s="16">
        <v>471</v>
      </c>
    </row>
    <row r="35" spans="1:4" ht="15" customHeight="1" x14ac:dyDescent="0.2">
      <c r="A35" s="19" t="s">
        <v>63</v>
      </c>
      <c r="B35" s="20"/>
      <c r="C35" s="20"/>
      <c r="D35" s="20"/>
    </row>
    <row r="36" spans="1:4" ht="31.5" customHeight="1" x14ac:dyDescent="0.2">
      <c r="A36" s="12" t="s">
        <v>64</v>
      </c>
      <c r="B36" s="16">
        <v>326</v>
      </c>
      <c r="C36" s="16">
        <v>394</v>
      </c>
      <c r="D36" s="16">
        <v>388</v>
      </c>
    </row>
    <row r="37" spans="1:4" ht="30" customHeight="1" x14ac:dyDescent="0.2">
      <c r="A37" s="17" t="s">
        <v>65</v>
      </c>
      <c r="B37" s="18">
        <f>SUM(B21:B25,B27:B28,B30,B32:B34,B36)</f>
        <v>4317</v>
      </c>
      <c r="C37" s="18">
        <f>SUM(C21:C25,C27:C28,C30,C32:C34,C36)</f>
        <v>4266</v>
      </c>
      <c r="D37" s="18">
        <f>SUM(D21:D25,D27:D28,D30,D32:D34,D36)</f>
        <v>4537</v>
      </c>
    </row>
    <row r="38" spans="1:4" ht="15" customHeight="1" x14ac:dyDescent="0.2">
      <c r="A38" s="12"/>
      <c r="B38" s="13"/>
      <c r="C38" s="13"/>
      <c r="D38" s="13"/>
    </row>
    <row r="39" spans="1:4" ht="15.75" customHeight="1" x14ac:dyDescent="0.2">
      <c r="A39" s="21" t="s">
        <v>66</v>
      </c>
      <c r="B39" s="41">
        <f>B17+B37</f>
        <v>17728</v>
      </c>
      <c r="C39" s="41">
        <f>C17+C37</f>
        <v>17816</v>
      </c>
      <c r="D39" s="41">
        <f>D17+D37</f>
        <v>18931</v>
      </c>
    </row>
    <row r="40" spans="1:4" ht="15" customHeight="1" x14ac:dyDescent="0.2">
      <c r="A40" s="12"/>
      <c r="B40" s="13"/>
      <c r="C40" s="13"/>
      <c r="D40" s="13"/>
    </row>
    <row r="41" spans="1:4" ht="15" customHeight="1" x14ac:dyDescent="0.2">
      <c r="A41" s="12"/>
      <c r="B41" s="13"/>
      <c r="C41" s="13"/>
      <c r="D41" s="13"/>
    </row>
    <row r="42" spans="1:4" ht="15" customHeight="1" x14ac:dyDescent="0.2">
      <c r="A42" s="46" t="s">
        <v>67</v>
      </c>
      <c r="B42" s="46"/>
      <c r="C42" s="46"/>
      <c r="D42" s="46"/>
    </row>
    <row r="43" spans="1:4" ht="15" customHeight="1" x14ac:dyDescent="0.2">
      <c r="A43" s="12"/>
      <c r="B43" s="13"/>
      <c r="C43" s="13"/>
      <c r="D43" s="13"/>
    </row>
    <row r="44" spans="1:4" ht="15" customHeight="1" x14ac:dyDescent="0.2">
      <c r="A44" s="14" t="s">
        <v>68</v>
      </c>
      <c r="B44" s="15"/>
      <c r="C44" s="15"/>
      <c r="D44" s="15"/>
    </row>
    <row r="45" spans="1:4" ht="31.5" customHeight="1" x14ac:dyDescent="0.2">
      <c r="A45" s="12" t="s">
        <v>69</v>
      </c>
      <c r="B45" s="16">
        <v>1278</v>
      </c>
      <c r="C45" s="16">
        <v>1197</v>
      </c>
      <c r="D45" s="16">
        <v>1628</v>
      </c>
    </row>
    <row r="46" spans="1:4" ht="15.75" customHeight="1" x14ac:dyDescent="0.2">
      <c r="A46" s="12" t="s">
        <v>70</v>
      </c>
      <c r="B46" s="22">
        <v>0</v>
      </c>
      <c r="C46" s="22">
        <v>0</v>
      </c>
      <c r="D46" s="22">
        <v>0</v>
      </c>
    </row>
    <row r="47" spans="1:4" ht="31.5" customHeight="1" x14ac:dyDescent="0.2">
      <c r="A47" s="12" t="s">
        <v>71</v>
      </c>
      <c r="B47" s="16">
        <v>181</v>
      </c>
      <c r="C47" s="16">
        <v>180</v>
      </c>
      <c r="D47" s="16">
        <v>182</v>
      </c>
    </row>
    <row r="48" spans="1:4" ht="31.5" customHeight="1" x14ac:dyDescent="0.2">
      <c r="A48" s="12" t="s">
        <v>72</v>
      </c>
      <c r="B48" s="16">
        <v>1103</v>
      </c>
      <c r="C48" s="16">
        <v>1003</v>
      </c>
      <c r="D48" s="16">
        <v>1000</v>
      </c>
    </row>
    <row r="49" spans="1:4" ht="48" customHeight="1" x14ac:dyDescent="0.2">
      <c r="A49" s="12" t="s">
        <v>73</v>
      </c>
      <c r="B49" s="16">
        <v>467</v>
      </c>
      <c r="C49" s="16">
        <v>437</v>
      </c>
      <c r="D49" s="16">
        <v>471</v>
      </c>
    </row>
    <row r="50" spans="1:4" ht="31.5" customHeight="1" x14ac:dyDescent="0.2">
      <c r="A50" s="12" t="s">
        <v>74</v>
      </c>
      <c r="B50" s="16">
        <v>495</v>
      </c>
      <c r="C50" s="16">
        <v>542</v>
      </c>
      <c r="D50" s="16">
        <v>571</v>
      </c>
    </row>
    <row r="51" spans="1:4" ht="15.75" customHeight="1" x14ac:dyDescent="0.2">
      <c r="A51" s="12" t="s">
        <v>75</v>
      </c>
      <c r="B51" s="16">
        <v>42</v>
      </c>
      <c r="C51" s="16">
        <v>17</v>
      </c>
      <c r="D51" s="16">
        <v>21</v>
      </c>
    </row>
    <row r="52" spans="1:4" ht="31.5" customHeight="1" x14ac:dyDescent="0.2">
      <c r="A52" s="12" t="s">
        <v>76</v>
      </c>
      <c r="B52" s="16">
        <v>1136</v>
      </c>
      <c r="C52" s="16">
        <v>1371</v>
      </c>
      <c r="D52" s="16">
        <v>1488</v>
      </c>
    </row>
    <row r="53" spans="1:4" ht="31.5" customHeight="1" x14ac:dyDescent="0.2">
      <c r="A53" s="12" t="s">
        <v>77</v>
      </c>
      <c r="B53" s="16">
        <v>595</v>
      </c>
      <c r="C53" s="16">
        <v>782</v>
      </c>
      <c r="D53" s="16">
        <v>841</v>
      </c>
    </row>
    <row r="54" spans="1:4" ht="15" customHeight="1" x14ac:dyDescent="0.2">
      <c r="A54" s="17" t="s">
        <v>78</v>
      </c>
      <c r="B54" s="18">
        <f>SUM(B45:B53)</f>
        <v>5297</v>
      </c>
      <c r="C54" s="18">
        <f>SUM(C45:C53)</f>
        <v>5529</v>
      </c>
      <c r="D54" s="18">
        <f>SUM(D45:D53)</f>
        <v>6202</v>
      </c>
    </row>
    <row r="55" spans="1:4" ht="15" customHeight="1" x14ac:dyDescent="0.2">
      <c r="A55" s="12"/>
      <c r="B55" s="13"/>
      <c r="C55" s="13"/>
      <c r="D55" s="13"/>
    </row>
    <row r="56" spans="1:4" ht="15" customHeight="1" x14ac:dyDescent="0.2">
      <c r="A56" s="14" t="s">
        <v>79</v>
      </c>
      <c r="B56" s="15"/>
      <c r="C56" s="15"/>
      <c r="D56" s="15"/>
    </row>
    <row r="57" spans="1:4" ht="31.5" customHeight="1" x14ac:dyDescent="0.2">
      <c r="A57" s="12" t="s">
        <v>80</v>
      </c>
      <c r="B57" s="22">
        <v>0</v>
      </c>
      <c r="C57" s="22">
        <v>0</v>
      </c>
      <c r="D57" s="22">
        <v>0</v>
      </c>
    </row>
    <row r="58" spans="1:4" ht="31.5" customHeight="1" x14ac:dyDescent="0.2">
      <c r="A58" s="12" t="s">
        <v>81</v>
      </c>
      <c r="B58" s="16">
        <v>754</v>
      </c>
      <c r="C58" s="16">
        <v>781</v>
      </c>
      <c r="D58" s="16">
        <v>917</v>
      </c>
    </row>
    <row r="59" spans="1:4" ht="31.5" customHeight="1" x14ac:dyDescent="0.2">
      <c r="A59" s="12" t="s">
        <v>82</v>
      </c>
      <c r="B59" s="16">
        <v>44</v>
      </c>
      <c r="C59" s="16">
        <v>44</v>
      </c>
      <c r="D59" s="16">
        <v>80</v>
      </c>
    </row>
    <row r="60" spans="1:4" ht="48" customHeight="1" x14ac:dyDescent="0.2">
      <c r="A60" s="12" t="s">
        <v>83</v>
      </c>
      <c r="B60" s="16">
        <v>122</v>
      </c>
      <c r="C60" s="16">
        <v>58</v>
      </c>
      <c r="D60" s="16">
        <v>61</v>
      </c>
    </row>
    <row r="61" spans="1:4" ht="48" customHeight="1" x14ac:dyDescent="0.2">
      <c r="A61" s="12" t="s">
        <v>84</v>
      </c>
      <c r="B61" s="16">
        <v>66</v>
      </c>
      <c r="C61" s="16">
        <v>82</v>
      </c>
      <c r="D61" s="16">
        <v>98</v>
      </c>
    </row>
    <row r="62" spans="1:4" ht="31.5" customHeight="1" x14ac:dyDescent="0.2">
      <c r="A62" s="12" t="s">
        <v>85</v>
      </c>
      <c r="B62" s="16">
        <v>96</v>
      </c>
      <c r="C62" s="16">
        <v>117</v>
      </c>
      <c r="D62" s="16">
        <v>114</v>
      </c>
    </row>
    <row r="63" spans="1:4" ht="31.5" customHeight="1" x14ac:dyDescent="0.2">
      <c r="A63" s="12" t="s">
        <v>86</v>
      </c>
      <c r="B63" s="22">
        <v>0</v>
      </c>
      <c r="C63" s="22">
        <v>0</v>
      </c>
      <c r="D63" s="22">
        <v>0</v>
      </c>
    </row>
    <row r="64" spans="1:4" ht="30" customHeight="1" x14ac:dyDescent="0.2">
      <c r="A64" s="17" t="s">
        <v>87</v>
      </c>
      <c r="B64" s="18">
        <f>SUM(B57:B63)</f>
        <v>1082</v>
      </c>
      <c r="C64" s="18">
        <f>SUM(C57:C63)</f>
        <v>1082</v>
      </c>
      <c r="D64" s="18">
        <f>SUM(D57:D63)</f>
        <v>1270</v>
      </c>
    </row>
    <row r="65" spans="1:4" ht="15" customHeight="1" x14ac:dyDescent="0.2">
      <c r="A65" s="12"/>
      <c r="B65" s="13"/>
      <c r="C65" s="13"/>
      <c r="D65" s="13"/>
    </row>
    <row r="66" spans="1:4" ht="15.75" customHeight="1" x14ac:dyDescent="0.2">
      <c r="A66" s="21" t="s">
        <v>88</v>
      </c>
      <c r="B66" s="41">
        <f>B54+B64</f>
        <v>6379</v>
      </c>
      <c r="C66" s="41">
        <f>C54+C64</f>
        <v>6611</v>
      </c>
      <c r="D66" s="41">
        <f>D54+D64</f>
        <v>7472</v>
      </c>
    </row>
    <row r="67" spans="1:4" ht="15" customHeight="1" x14ac:dyDescent="0.2">
      <c r="A67" s="12"/>
      <c r="B67" s="13"/>
      <c r="C67" s="13"/>
      <c r="D67" s="13"/>
    </row>
    <row r="68" spans="1:4" ht="15" customHeight="1" x14ac:dyDescent="0.2">
      <c r="A68" s="12"/>
      <c r="B68" s="13"/>
      <c r="C68" s="13"/>
      <c r="D68" s="13"/>
    </row>
    <row r="69" spans="1:4" ht="15" customHeight="1" x14ac:dyDescent="0.2">
      <c r="A69" s="14" t="s">
        <v>89</v>
      </c>
      <c r="B69" s="15"/>
      <c r="C69" s="15"/>
      <c r="D69" s="15"/>
    </row>
    <row r="70" spans="1:4" ht="15" customHeight="1" x14ac:dyDescent="0.2">
      <c r="A70" s="19" t="s">
        <v>90</v>
      </c>
      <c r="B70" s="20"/>
      <c r="C70" s="20"/>
      <c r="D70" s="20"/>
    </row>
    <row r="71" spans="1:4" ht="15.75" customHeight="1" x14ac:dyDescent="0.2">
      <c r="A71" s="12" t="s">
        <v>91</v>
      </c>
      <c r="B71" s="16">
        <v>68</v>
      </c>
      <c r="C71" s="16">
        <v>68</v>
      </c>
      <c r="D71" s="16">
        <v>68</v>
      </c>
    </row>
    <row r="72" spans="1:4" ht="15.75" customHeight="1" x14ac:dyDescent="0.2">
      <c r="A72" s="12" t="s">
        <v>92</v>
      </c>
      <c r="B72" s="22">
        <v>0</v>
      </c>
      <c r="C72" s="22">
        <v>0</v>
      </c>
      <c r="D72" s="22">
        <v>0</v>
      </c>
    </row>
    <row r="73" spans="1:4" ht="15" customHeight="1" x14ac:dyDescent="0.2">
      <c r="A73" s="19" t="s">
        <v>93</v>
      </c>
      <c r="B73" s="20"/>
      <c r="C73" s="20"/>
      <c r="D73" s="20"/>
    </row>
    <row r="74" spans="1:4" ht="15.75" customHeight="1" x14ac:dyDescent="0.2">
      <c r="A74" s="12" t="s">
        <v>94</v>
      </c>
      <c r="B74" s="16">
        <v>14536</v>
      </c>
      <c r="C74" s="16">
        <v>13980</v>
      </c>
      <c r="D74" s="16">
        <v>16245</v>
      </c>
    </row>
    <row r="75" spans="1:4" ht="48" customHeight="1" x14ac:dyDescent="0.2">
      <c r="A75" s="12" t="s">
        <v>95</v>
      </c>
      <c r="B75" s="16">
        <v>-3352</v>
      </c>
      <c r="C75" s="16">
        <v>-2944</v>
      </c>
      <c r="D75" s="16">
        <v>-4976</v>
      </c>
    </row>
    <row r="76" spans="1:4" ht="30" customHeight="1" x14ac:dyDescent="0.2">
      <c r="A76" s="17" t="s">
        <v>96</v>
      </c>
      <c r="B76" s="18">
        <f>SUM(B71:B75)</f>
        <v>11252</v>
      </c>
      <c r="C76" s="18">
        <f>SUM(C71:C75)</f>
        <v>11104</v>
      </c>
      <c r="D76" s="18">
        <f>SUM(D71:D75)</f>
        <v>11337</v>
      </c>
    </row>
    <row r="77" spans="1:4" ht="15" customHeight="1" x14ac:dyDescent="0.2">
      <c r="A77" s="12"/>
      <c r="B77" s="13"/>
      <c r="C77" s="13"/>
      <c r="D77" s="13"/>
    </row>
    <row r="78" spans="1:4" ht="31.5" customHeight="1" x14ac:dyDescent="0.2">
      <c r="A78" s="12" t="s">
        <v>97</v>
      </c>
      <c r="B78" s="16">
        <v>97</v>
      </c>
      <c r="C78" s="16">
        <v>101</v>
      </c>
      <c r="D78" s="16">
        <v>122</v>
      </c>
    </row>
    <row r="79" spans="1:4" ht="15" customHeight="1" x14ac:dyDescent="0.2">
      <c r="A79" s="12"/>
      <c r="B79" s="13"/>
      <c r="C79" s="13"/>
      <c r="D79" s="13"/>
    </row>
    <row r="80" spans="1:4" ht="31.5" customHeight="1" x14ac:dyDescent="0.2">
      <c r="A80" s="21" t="s">
        <v>98</v>
      </c>
      <c r="B80" s="41">
        <f>B66+B76+B78</f>
        <v>17728</v>
      </c>
      <c r="C80" s="41">
        <f>C66+C76+C78</f>
        <v>17816</v>
      </c>
      <c r="D80" s="41">
        <f>D66+D76+D78</f>
        <v>18931</v>
      </c>
    </row>
    <row r="82" spans="1:4" ht="15" customHeight="1" x14ac:dyDescent="0.2">
      <c r="A82" s="1" t="s">
        <v>159</v>
      </c>
      <c r="B82" s="23">
        <f>B39-B80</f>
        <v>0</v>
      </c>
      <c r="C82" s="23">
        <f>C39-C80</f>
        <v>0</v>
      </c>
      <c r="D82" s="23">
        <f>D39-D80</f>
        <v>0</v>
      </c>
    </row>
  </sheetData>
  <mergeCells count="5">
    <mergeCell ref="A1:D1"/>
    <mergeCell ref="A2:D2"/>
    <mergeCell ref="A3:D3"/>
    <mergeCell ref="A6:D6"/>
    <mergeCell ref="A42:D4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zoomScaleNormal="100" workbookViewId="0">
      <selection activeCell="A2" sqref="A2:D2"/>
    </sheetView>
  </sheetViews>
  <sheetFormatPr baseColWidth="10" defaultColWidth="10.83203125" defaultRowHeight="15" x14ac:dyDescent="0.2"/>
  <cols>
    <col min="1" max="1" width="44" customWidth="1"/>
    <col min="2" max="2" width="47" customWidth="1"/>
    <col min="3" max="3" width="42.1640625" customWidth="1"/>
    <col min="4" max="4" width="40.83203125" customWidth="1"/>
    <col min="5" max="16384" width="10.83203125" style="1"/>
  </cols>
  <sheetData>
    <row r="1" spans="1:4" ht="16.5" customHeight="1" x14ac:dyDescent="0.2">
      <c r="A1" s="44" t="s">
        <v>99</v>
      </c>
      <c r="B1" s="44"/>
      <c r="C1" s="44"/>
      <c r="D1" s="44"/>
    </row>
    <row r="2" spans="1:4" ht="15" customHeight="1" x14ac:dyDescent="0.2">
      <c r="A2" s="45" t="s">
        <v>100</v>
      </c>
      <c r="B2" s="45"/>
      <c r="C2" s="45"/>
      <c r="D2" s="45"/>
    </row>
    <row r="4" spans="1:4" ht="15" customHeight="1" x14ac:dyDescent="0.2">
      <c r="A4" s="32" t="s">
        <v>2</v>
      </c>
      <c r="B4" s="32" t="s">
        <v>3</v>
      </c>
      <c r="C4" s="32" t="s">
        <v>4</v>
      </c>
      <c r="D4" s="32" t="s">
        <v>5</v>
      </c>
    </row>
    <row r="5" spans="1:4" ht="31.5" customHeight="1" x14ac:dyDescent="0.2">
      <c r="A5" s="33" t="s">
        <v>101</v>
      </c>
    </row>
    <row r="6" spans="1:4" ht="15" customHeight="1" x14ac:dyDescent="0.2">
      <c r="A6" s="33"/>
    </row>
    <row r="7" spans="1:4" ht="15.75" customHeight="1" x14ac:dyDescent="0.2">
      <c r="A7" s="33" t="s">
        <v>102</v>
      </c>
      <c r="B7" s="34">
        <v>7046</v>
      </c>
      <c r="C7" s="34">
        <v>7609</v>
      </c>
      <c r="D7" s="34">
        <v>7722</v>
      </c>
    </row>
    <row r="8" spans="1:4" ht="15.75" customHeight="1" x14ac:dyDescent="0.2">
      <c r="A8" s="33" t="s">
        <v>103</v>
      </c>
    </row>
    <row r="9" spans="1:4" ht="31.5" customHeight="1" x14ac:dyDescent="0.2">
      <c r="A9" s="33" t="s">
        <v>104</v>
      </c>
      <c r="B9" s="34">
        <v>623</v>
      </c>
      <c r="C9" s="34">
        <v>602</v>
      </c>
      <c r="D9" s="34">
        <v>619</v>
      </c>
    </row>
    <row r="10" spans="1:4" ht="15.75" customHeight="1" x14ac:dyDescent="0.2">
      <c r="A10" s="33" t="s">
        <v>105</v>
      </c>
      <c r="B10" s="33">
        <v>0</v>
      </c>
      <c r="C10" s="33">
        <v>0</v>
      </c>
      <c r="D10" s="33">
        <v>0</v>
      </c>
    </row>
    <row r="11" spans="1:4" ht="15.75" customHeight="1" x14ac:dyDescent="0.2">
      <c r="A11" s="33" t="s">
        <v>106</v>
      </c>
      <c r="B11" s="34">
        <v>50</v>
      </c>
      <c r="C11" s="34">
        <v>45</v>
      </c>
      <c r="D11" s="34">
        <v>55</v>
      </c>
    </row>
    <row r="12" spans="1:4" ht="30" customHeight="1" x14ac:dyDescent="0.2">
      <c r="A12" s="35" t="s">
        <v>107</v>
      </c>
      <c r="B12" s="36">
        <f>B7+B9+B10+B11</f>
        <v>7719</v>
      </c>
      <c r="C12" s="36">
        <f>C7+C9+C10+C11</f>
        <v>8256</v>
      </c>
      <c r="D12" s="36">
        <f>D7+D9+D10+D11</f>
        <v>8396</v>
      </c>
    </row>
    <row r="13" spans="1:4" ht="31.5" customHeight="1" x14ac:dyDescent="0.2">
      <c r="A13" s="33" t="s">
        <v>108</v>
      </c>
    </row>
    <row r="14" spans="1:4" ht="31.5" customHeight="1" x14ac:dyDescent="0.2">
      <c r="A14" s="33" t="s">
        <v>109</v>
      </c>
      <c r="B14" s="34">
        <v>-336</v>
      </c>
      <c r="C14" s="34">
        <v>-541</v>
      </c>
      <c r="D14" s="34">
        <v>-50</v>
      </c>
    </row>
    <row r="15" spans="1:4" ht="31.5" customHeight="1" x14ac:dyDescent="0.2">
      <c r="A15" s="33" t="s">
        <v>110</v>
      </c>
      <c r="B15" s="34">
        <v>100</v>
      </c>
      <c r="C15" s="34">
        <v>50</v>
      </c>
      <c r="D15" s="34">
        <v>80</v>
      </c>
    </row>
    <row r="16" spans="1:4" ht="31.5" customHeight="1" x14ac:dyDescent="0.2">
      <c r="A16" s="33" t="s">
        <v>111</v>
      </c>
      <c r="B16" s="34">
        <v>-81</v>
      </c>
      <c r="C16" s="34">
        <v>431</v>
      </c>
      <c r="D16" s="34">
        <v>200</v>
      </c>
    </row>
    <row r="17" spans="1:4" ht="31.5" customHeight="1" x14ac:dyDescent="0.2">
      <c r="A17" s="33" t="s">
        <v>112</v>
      </c>
      <c r="B17" s="34">
        <v>150</v>
      </c>
      <c r="C17" s="34">
        <v>100</v>
      </c>
      <c r="D17" s="34">
        <v>120</v>
      </c>
    </row>
    <row r="18" spans="1:4" ht="31.5" customHeight="1" x14ac:dyDescent="0.2">
      <c r="A18" s="33" t="s">
        <v>113</v>
      </c>
      <c r="B18" s="37">
        <f>B12+SUM(B14:B17)</f>
        <v>7552</v>
      </c>
      <c r="C18" s="37">
        <f>C12+SUM(C14:C17)</f>
        <v>8296</v>
      </c>
      <c r="D18" s="37">
        <f>D12+SUM(D14:D17)</f>
        <v>8746</v>
      </c>
    </row>
    <row r="19" spans="1:4" ht="15.75" customHeight="1" x14ac:dyDescent="0.2">
      <c r="A19" s="33" t="s">
        <v>114</v>
      </c>
      <c r="B19" s="34">
        <v>-1808</v>
      </c>
      <c r="C19" s="34">
        <v>-1963</v>
      </c>
      <c r="D19" s="34">
        <v>-1954</v>
      </c>
    </row>
    <row r="20" spans="1:4" ht="15" customHeight="1" x14ac:dyDescent="0.2">
      <c r="A20" s="33"/>
    </row>
    <row r="21" spans="1:4" ht="30" customHeight="1" x14ac:dyDescent="0.2">
      <c r="A21" s="35" t="s">
        <v>115</v>
      </c>
      <c r="B21" s="36">
        <f>B18+B19</f>
        <v>5744</v>
      </c>
      <c r="C21" s="36">
        <f>C18+C19</f>
        <v>6333</v>
      </c>
      <c r="D21" s="36">
        <f>D18+D19</f>
        <v>6792</v>
      </c>
    </row>
    <row r="22" spans="1:4" ht="15" customHeight="1" x14ac:dyDescent="0.2">
      <c r="A22" s="33"/>
    </row>
    <row r="23" spans="1:4" ht="31.5" customHeight="1" x14ac:dyDescent="0.2">
      <c r="A23" s="33" t="s">
        <v>116</v>
      </c>
    </row>
    <row r="24" spans="1:4" ht="15" customHeight="1" x14ac:dyDescent="0.2">
      <c r="A24" s="33"/>
    </row>
    <row r="25" spans="1:4" ht="48" customHeight="1" x14ac:dyDescent="0.2">
      <c r="A25" s="33" t="s">
        <v>117</v>
      </c>
      <c r="B25" s="34">
        <v>-300</v>
      </c>
      <c r="C25" s="34">
        <v>-280</v>
      </c>
      <c r="D25" s="34">
        <v>-320</v>
      </c>
    </row>
    <row r="26" spans="1:4" ht="31.5" customHeight="1" x14ac:dyDescent="0.2">
      <c r="A26" s="33" t="s">
        <v>118</v>
      </c>
      <c r="B26" s="34">
        <v>711</v>
      </c>
      <c r="C26" s="34">
        <v>184</v>
      </c>
      <c r="D26" s="34">
        <v>100</v>
      </c>
    </row>
    <row r="27" spans="1:4" ht="15.75" customHeight="1" x14ac:dyDescent="0.2">
      <c r="A27" s="33" t="s">
        <v>119</v>
      </c>
      <c r="B27" s="34">
        <v>80</v>
      </c>
      <c r="C27" s="34">
        <v>90</v>
      </c>
      <c r="D27" s="34">
        <v>100</v>
      </c>
    </row>
    <row r="28" spans="1:4" ht="15.75" customHeight="1" x14ac:dyDescent="0.2">
      <c r="A28" s="33" t="s">
        <v>120</v>
      </c>
      <c r="B28" s="34">
        <v>60</v>
      </c>
      <c r="C28" s="34">
        <v>70</v>
      </c>
      <c r="D28" s="34">
        <v>80</v>
      </c>
    </row>
    <row r="29" spans="1:4" ht="15" customHeight="1" x14ac:dyDescent="0.2">
      <c r="A29" s="33"/>
    </row>
    <row r="30" spans="1:4" ht="30" customHeight="1" x14ac:dyDescent="0.2">
      <c r="A30" s="35" t="s">
        <v>121</v>
      </c>
      <c r="B30" s="36">
        <f>SUM(B25:B28)</f>
        <v>551</v>
      </c>
      <c r="C30" s="36">
        <f>SUM(C25:C28)</f>
        <v>64</v>
      </c>
      <c r="D30" s="36">
        <f>SUM(D25:D28)</f>
        <v>-40</v>
      </c>
    </row>
    <row r="31" spans="1:4" ht="15" customHeight="1" x14ac:dyDescent="0.2">
      <c r="A31" s="33"/>
    </row>
    <row r="32" spans="1:4" ht="31.5" customHeight="1" x14ac:dyDescent="0.2">
      <c r="A32" s="33" t="s">
        <v>122</v>
      </c>
    </row>
    <row r="33" spans="1:4" ht="15" customHeight="1" x14ac:dyDescent="0.2">
      <c r="A33" s="33"/>
    </row>
    <row r="34" spans="1:4" ht="15.75" customHeight="1" x14ac:dyDescent="0.2">
      <c r="A34" s="33" t="s">
        <v>123</v>
      </c>
      <c r="B34" s="33">
        <v>0</v>
      </c>
      <c r="C34" s="33">
        <v>0</v>
      </c>
      <c r="D34" s="33">
        <v>0</v>
      </c>
    </row>
    <row r="35" spans="1:4" ht="15.75" customHeight="1" x14ac:dyDescent="0.2">
      <c r="A35" s="33" t="s">
        <v>124</v>
      </c>
      <c r="B35" s="33">
        <v>0</v>
      </c>
      <c r="C35" s="33">
        <v>0</v>
      </c>
      <c r="D35" s="33">
        <v>0</v>
      </c>
    </row>
    <row r="36" spans="1:4" ht="15.75" customHeight="1" x14ac:dyDescent="0.2">
      <c r="A36" s="33" t="s">
        <v>125</v>
      </c>
      <c r="B36" s="34">
        <v>-100</v>
      </c>
      <c r="C36" s="34">
        <v>-105</v>
      </c>
      <c r="D36" s="34">
        <v>-110</v>
      </c>
    </row>
    <row r="37" spans="1:4" ht="15.75" customHeight="1" x14ac:dyDescent="0.2">
      <c r="A37" s="33" t="s">
        <v>126</v>
      </c>
      <c r="B37" s="34">
        <v>-1300</v>
      </c>
      <c r="C37" s="34">
        <v>-1400</v>
      </c>
      <c r="D37" s="34">
        <v>-1500</v>
      </c>
    </row>
    <row r="38" spans="1:4" ht="31.5" customHeight="1" x14ac:dyDescent="0.2">
      <c r="A38" s="33" t="s">
        <v>127</v>
      </c>
      <c r="B38" s="34">
        <v>50</v>
      </c>
      <c r="C38" s="34">
        <v>60</v>
      </c>
      <c r="D38" s="34">
        <v>70</v>
      </c>
    </row>
    <row r="39" spans="1:4" ht="15" customHeight="1" x14ac:dyDescent="0.2">
      <c r="A39" s="33"/>
    </row>
    <row r="40" spans="1:4" ht="30" customHeight="1" x14ac:dyDescent="0.2">
      <c r="A40" s="35" t="s">
        <v>128</v>
      </c>
      <c r="B40" s="36">
        <f>SUM(B34:B38)</f>
        <v>-1350</v>
      </c>
      <c r="C40" s="36">
        <f>SUM(C34:C38)</f>
        <v>-1445</v>
      </c>
      <c r="D40" s="36">
        <f>SUM(D34:D38)</f>
        <v>-1540</v>
      </c>
    </row>
    <row r="41" spans="1:4" ht="15" customHeight="1" x14ac:dyDescent="0.2">
      <c r="A41" s="33"/>
    </row>
    <row r="42" spans="1:4" ht="31.5" customHeight="1" x14ac:dyDescent="0.2">
      <c r="A42" s="33" t="s">
        <v>129</v>
      </c>
      <c r="B42" s="37">
        <f>B21+B30+B40</f>
        <v>4945</v>
      </c>
      <c r="C42" s="37">
        <f>C21+C30+C40</f>
        <v>4952</v>
      </c>
      <c r="D42" s="37">
        <f>D21+D30+D40</f>
        <v>5212</v>
      </c>
    </row>
    <row r="43" spans="1:4" ht="31.5" customHeight="1" x14ac:dyDescent="0.2">
      <c r="A43" s="33" t="s">
        <v>130</v>
      </c>
      <c r="B43" s="38">
        <v>866</v>
      </c>
      <c r="C43" s="38">
        <f>'Balance Sheet'!C9</f>
        <v>1081</v>
      </c>
      <c r="D43" s="38">
        <f>'Balance Sheet'!D9</f>
        <v>976</v>
      </c>
    </row>
    <row r="44" spans="1:4" ht="31.5" customHeight="1" x14ac:dyDescent="0.2">
      <c r="A44" s="39" t="s">
        <v>131</v>
      </c>
      <c r="B44" s="40">
        <f>B43+B42</f>
        <v>5811</v>
      </c>
      <c r="C44" s="40">
        <f>C43+C42</f>
        <v>6033</v>
      </c>
      <c r="D44" s="40">
        <f>D43+D42</f>
        <v>6188</v>
      </c>
    </row>
  </sheetData>
  <mergeCells count="2">
    <mergeCell ref="A1:D1"/>
    <mergeCell ref="A2:D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Normal="100" workbookViewId="0">
      <selection activeCell="F16" sqref="F16"/>
    </sheetView>
  </sheetViews>
  <sheetFormatPr baseColWidth="10" defaultColWidth="10.6640625" defaultRowHeight="15" x14ac:dyDescent="0.2"/>
  <cols>
    <col min="1" max="1" width="38" customWidth="1"/>
    <col min="2" max="2" width="39" customWidth="1"/>
    <col min="3" max="3" width="41" customWidth="1"/>
    <col min="4" max="4" width="36" customWidth="1"/>
    <col min="5" max="5" width="51.83203125" customWidth="1"/>
  </cols>
  <sheetData>
    <row r="1" spans="1:5" ht="30" customHeight="1" x14ac:dyDescent="0.2">
      <c r="A1" s="47" t="s">
        <v>132</v>
      </c>
      <c r="B1" s="47"/>
      <c r="C1" s="47"/>
      <c r="D1" s="47"/>
      <c r="E1" s="47"/>
    </row>
    <row r="2" spans="1:5" ht="18" customHeight="1" x14ac:dyDescent="0.2">
      <c r="A2" s="48" t="s">
        <v>133</v>
      </c>
      <c r="B2" s="48"/>
      <c r="C2" s="48"/>
      <c r="D2" s="48"/>
      <c r="E2" s="48"/>
    </row>
    <row r="3" spans="1:5" ht="6" customHeight="1" x14ac:dyDescent="0.2"/>
    <row r="4" spans="1:5" ht="27.75" customHeight="1" x14ac:dyDescent="0.2">
      <c r="A4" s="24" t="s">
        <v>134</v>
      </c>
      <c r="B4" s="24" t="s">
        <v>3</v>
      </c>
      <c r="C4" s="24" t="s">
        <v>4</v>
      </c>
      <c r="D4" s="24" t="s">
        <v>5</v>
      </c>
      <c r="E4" s="24" t="s">
        <v>135</v>
      </c>
    </row>
    <row r="5" spans="1:5" ht="19.5" customHeight="1" x14ac:dyDescent="0.2">
      <c r="A5" s="25" t="s">
        <v>136</v>
      </c>
      <c r="B5" s="26"/>
      <c r="C5" s="26"/>
      <c r="D5" s="26"/>
      <c r="E5" s="26"/>
    </row>
    <row r="6" spans="1:5" ht="21.75" customHeight="1" x14ac:dyDescent="0.2">
      <c r="A6" s="27" t="s">
        <v>137</v>
      </c>
      <c r="B6" s="28">
        <f>'Income Statement'!B21/'Income Statement'!B8</f>
        <v>0.39542378343538509</v>
      </c>
      <c r="C6" s="28">
        <f>'Income Statement'!C21/'Income Statement'!C8</f>
        <v>0.40388583218707014</v>
      </c>
      <c r="D6" s="28">
        <f>'Income Statement'!D21/'Income Statement'!D8</f>
        <v>0.38904536266940587</v>
      </c>
      <c r="E6" s="29" t="s">
        <v>138</v>
      </c>
    </row>
    <row r="7" spans="1:5" ht="21.75" customHeight="1" x14ac:dyDescent="0.2">
      <c r="A7" s="27" t="s">
        <v>139</v>
      </c>
      <c r="B7" s="28">
        <f>'Income Statement'!B34/'Income Statement'!B8</f>
        <v>0.24041250402835965</v>
      </c>
      <c r="C7" s="28">
        <f>'Income Statement'!C34/'Income Statement'!C8</f>
        <v>0.24614855570839064</v>
      </c>
      <c r="D7" s="28">
        <f>'Income Statement'!D34/'Income Statement'!D8</f>
        <v>0.24348056595645978</v>
      </c>
      <c r="E7" s="29" t="s">
        <v>140</v>
      </c>
    </row>
    <row r="8" spans="1:5" ht="21.75" customHeight="1" x14ac:dyDescent="0.2">
      <c r="A8" s="27" t="s">
        <v>141</v>
      </c>
      <c r="B8" s="28">
        <f>'Income Statement'!B46/'Income Statement'!B8</f>
        <v>0.18688008020911662</v>
      </c>
      <c r="C8" s="28">
        <f>'Income Statement'!C46/'Income Statement'!C8</f>
        <v>0.19336313617606601</v>
      </c>
      <c r="D8" s="28">
        <f>'Income Statement'!D46/'Income Statement'!D8</f>
        <v>0.1901653467643063</v>
      </c>
      <c r="E8" s="29" t="s">
        <v>142</v>
      </c>
    </row>
    <row r="9" spans="1:5" ht="19.5" customHeight="1" x14ac:dyDescent="0.2">
      <c r="A9" s="25" t="s">
        <v>143</v>
      </c>
      <c r="B9" s="26"/>
      <c r="C9" s="26"/>
      <c r="D9" s="26"/>
      <c r="E9" s="26"/>
    </row>
    <row r="10" spans="1:5" ht="21.75" customHeight="1" x14ac:dyDescent="0.2">
      <c r="A10" s="27" t="s">
        <v>144</v>
      </c>
      <c r="B10" s="28">
        <f>'Income Statement'!B46/('Balance Sheet'!B71+'Balance Sheet'!B74+'Balance Sheet'!B75+'Balance Sheet'!B78)</f>
        <v>0.45986430522512994</v>
      </c>
      <c r="C10" s="28">
        <f>'Income Statement'!C46/('Balance Sheet'!C71+'Balance Sheet'!C74+'Balance Sheet'!C75+'Balance Sheet'!C78)</f>
        <v>0.50182954038375727</v>
      </c>
      <c r="D10" s="28">
        <f>'Income Statement'!D46/('Balance Sheet'!D71+'Balance Sheet'!D74+'Balance Sheet'!D75+'Balance Sheet'!D78)</f>
        <v>0.50082904267388084</v>
      </c>
      <c r="E10" s="29" t="s">
        <v>145</v>
      </c>
    </row>
    <row r="11" spans="1:5" ht="21.75" customHeight="1" x14ac:dyDescent="0.2">
      <c r="A11" s="27" t="s">
        <v>146</v>
      </c>
      <c r="B11" s="28">
        <f>'Income Statement'!B46/(SUM('Balance Sheet'!B9:B16)+SUM('Balance Sheet'!B21:B36))</f>
        <v>0.29439305054151627</v>
      </c>
      <c r="C11" s="28">
        <f>'Income Statement'!C46/(SUM('Balance Sheet'!C9:C16)+SUM('Balance Sheet'!C21:C36))</f>
        <v>0.31561517736865741</v>
      </c>
      <c r="D11" s="28">
        <f>'Income Statement'!D46/(SUM('Balance Sheet'!D9:D16)+SUM('Balance Sheet'!D21:D36))</f>
        <v>0.30315355765675345</v>
      </c>
      <c r="E11" s="29" t="s">
        <v>147</v>
      </c>
    </row>
    <row r="12" spans="1:5" ht="19.5" customHeight="1" x14ac:dyDescent="0.2">
      <c r="A12" s="25" t="s">
        <v>148</v>
      </c>
      <c r="B12" s="26"/>
      <c r="C12" s="26"/>
      <c r="D12" s="26"/>
      <c r="E12" s="26"/>
    </row>
    <row r="13" spans="1:5" ht="21.75" customHeight="1" x14ac:dyDescent="0.2">
      <c r="A13" s="27" t="s">
        <v>149</v>
      </c>
      <c r="B13" s="30">
        <f>SUM('Balance Sheet'!B9:B16)/SUM('Balance Sheet'!B45,'Balance Sheet'!B47:B53)</f>
        <v>2.5318104587502361</v>
      </c>
      <c r="C13" s="30">
        <f>SUM('Balance Sheet'!C9:C16)/SUM('Balance Sheet'!C45,'Balance Sheet'!C47:C53)</f>
        <v>2.4507144149032376</v>
      </c>
      <c r="D13" s="30">
        <f>SUM('Balance Sheet'!D9:D16)/SUM('Balance Sheet'!D45,'Balance Sheet'!D47:D53)</f>
        <v>2.3208642373427928</v>
      </c>
      <c r="E13" s="29" t="s">
        <v>150</v>
      </c>
    </row>
    <row r="14" spans="1:5" ht="21.75" customHeight="1" x14ac:dyDescent="0.2">
      <c r="A14" s="27" t="s">
        <v>151</v>
      </c>
      <c r="B14" s="30">
        <f>(SUM('Balance Sheet'!B9:B16)-'Balance Sheet'!B16)/SUM('Balance Sheet'!B45,'Balance Sheet'!B47:B53)</f>
        <v>2.3080989239191996</v>
      </c>
      <c r="C14" s="30">
        <f>(SUM('Balance Sheet'!C9:C16)-'Balance Sheet'!C16)/SUM('Balance Sheet'!C45,'Balance Sheet'!C47:C53)</f>
        <v>2.1839392295170916</v>
      </c>
      <c r="D14" s="30">
        <f>(SUM('Balance Sheet'!D9:D16)-'Balance Sheet'!D16)/SUM('Balance Sheet'!D45,'Balance Sheet'!D47:D53)</f>
        <v>2.0419219606578523</v>
      </c>
      <c r="E14" s="29" t="s">
        <v>152</v>
      </c>
    </row>
    <row r="15" spans="1:5" ht="19.5" customHeight="1" x14ac:dyDescent="0.2">
      <c r="A15" s="25" t="s">
        <v>153</v>
      </c>
      <c r="B15" s="26"/>
      <c r="C15" s="26"/>
      <c r="D15" s="26"/>
      <c r="E15" s="26"/>
    </row>
    <row r="16" spans="1:5" ht="21.75" customHeight="1" x14ac:dyDescent="0.2">
      <c r="A16" s="27" t="s">
        <v>154</v>
      </c>
      <c r="B16" s="30">
        <f>('Balance Sheet'!B47+'Balance Sheet'!B58)/('Balance Sheet'!B71+'Balance Sheet'!B74+'Balance Sheet'!B75+'Balance Sheet'!B78)</f>
        <v>8.2386113313948364E-2</v>
      </c>
      <c r="C16" s="30">
        <f>('Balance Sheet'!C47+'Balance Sheet'!C58)/('Balance Sheet'!C71+'Balance Sheet'!C74+'Balance Sheet'!C75+'Balance Sheet'!C78)</f>
        <v>8.5765283355644803E-2</v>
      </c>
      <c r="D16" s="30">
        <f>('Balance Sheet'!D47+'Balance Sheet'!D58)/('Balance Sheet'!D71+'Balance Sheet'!D74+'Balance Sheet'!D75+'Balance Sheet'!D78)</f>
        <v>9.5907147220525346E-2</v>
      </c>
      <c r="E16" s="29" t="s">
        <v>155</v>
      </c>
    </row>
    <row r="17" spans="1:5" ht="21.75" customHeight="1" x14ac:dyDescent="0.2">
      <c r="A17" s="27" t="s">
        <v>156</v>
      </c>
      <c r="B17" s="31" t="s">
        <v>157</v>
      </c>
      <c r="C17" s="31" t="s">
        <v>157</v>
      </c>
      <c r="D17" s="31" t="s">
        <v>157</v>
      </c>
      <c r="E17" s="29" t="s">
        <v>158</v>
      </c>
    </row>
    <row r="19" spans="1:5" ht="15.75" customHeight="1" x14ac:dyDescent="0.2">
      <c r="A19" s="49"/>
      <c r="B19" s="49"/>
      <c r="C19" s="49"/>
      <c r="D19" s="49"/>
      <c r="E19" s="49"/>
    </row>
  </sheetData>
  <mergeCells count="3">
    <mergeCell ref="A1:E1"/>
    <mergeCell ref="A2:E2"/>
    <mergeCell ref="A19:E1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4A35-7C60-D449-AA3C-D102CC8D6465}">
  <dimension ref="A1:F13"/>
  <sheetViews>
    <sheetView tabSelected="1" workbookViewId="0">
      <selection activeCell="I37" sqref="I37"/>
    </sheetView>
  </sheetViews>
  <sheetFormatPr baseColWidth="10" defaultRowHeight="15" x14ac:dyDescent="0.2"/>
  <cols>
    <col min="1" max="1" width="16.6640625" style="1" customWidth="1"/>
    <col min="2" max="2" width="14.6640625" style="1" customWidth="1"/>
    <col min="3" max="4" width="17.1640625" style="1" customWidth="1"/>
    <col min="5" max="5" width="14.33203125" style="1" customWidth="1"/>
    <col min="6" max="6" width="13.83203125" style="1" customWidth="1"/>
  </cols>
  <sheetData>
    <row r="1" spans="1:6" ht="17" x14ac:dyDescent="0.2">
      <c r="A1" s="52" t="s">
        <v>160</v>
      </c>
      <c r="B1" s="52"/>
      <c r="C1" s="52"/>
      <c r="D1" s="52"/>
      <c r="E1" s="52"/>
      <c r="F1" s="52"/>
    </row>
    <row r="2" spans="1:6" x14ac:dyDescent="0.2">
      <c r="A2" s="53" t="s">
        <v>161</v>
      </c>
      <c r="B2" s="53"/>
      <c r="C2" s="53"/>
      <c r="D2" s="53"/>
      <c r="E2" s="53"/>
      <c r="F2" s="53"/>
    </row>
    <row r="4" spans="1:6" ht="28" x14ac:dyDescent="0.2">
      <c r="A4" s="50" t="s">
        <v>162</v>
      </c>
      <c r="B4" s="50" t="s">
        <v>3</v>
      </c>
      <c r="C4" s="50" t="s">
        <v>4</v>
      </c>
      <c r="D4" s="50" t="s">
        <v>5</v>
      </c>
      <c r="E4" s="50" t="s">
        <v>163</v>
      </c>
      <c r="F4" s="50" t="s">
        <v>164</v>
      </c>
    </row>
    <row r="5" spans="1:6" x14ac:dyDescent="0.2">
      <c r="A5" s="54" t="s">
        <v>9</v>
      </c>
      <c r="B5" s="55">
        <v>27927</v>
      </c>
      <c r="C5" s="55">
        <v>29080</v>
      </c>
      <c r="D5" s="55">
        <v>30179</v>
      </c>
      <c r="E5" s="56">
        <f t="shared" ref="E5:F8" si="0">(C5-B5)/B5</f>
        <v>4.1286210477315857E-2</v>
      </c>
      <c r="F5" s="56">
        <f t="shared" si="0"/>
        <v>3.7792297111416781E-2</v>
      </c>
    </row>
    <row r="6" spans="1:6" x14ac:dyDescent="0.2">
      <c r="A6" s="57" t="s">
        <v>165</v>
      </c>
      <c r="B6" s="55">
        <v>11043</v>
      </c>
      <c r="C6" s="55">
        <v>11745</v>
      </c>
      <c r="D6" s="55">
        <v>11741</v>
      </c>
      <c r="E6" s="56">
        <f t="shared" si="0"/>
        <v>6.3569682151589244E-2</v>
      </c>
      <c r="F6" s="56">
        <f t="shared" si="0"/>
        <v>-3.4057045551298427E-4</v>
      </c>
    </row>
    <row r="7" spans="1:6" x14ac:dyDescent="0.2">
      <c r="A7" s="58" t="s">
        <v>166</v>
      </c>
      <c r="B7" s="55">
        <v>6714</v>
      </c>
      <c r="C7" s="55">
        <v>7158</v>
      </c>
      <c r="D7" s="55">
        <v>7348</v>
      </c>
      <c r="E7" s="56">
        <f t="shared" si="0"/>
        <v>6.6130473637176043E-2</v>
      </c>
      <c r="F7" s="56">
        <f t="shared" si="0"/>
        <v>2.654372729812797E-2</v>
      </c>
    </row>
    <row r="8" spans="1:6" x14ac:dyDescent="0.2">
      <c r="A8" s="59" t="s">
        <v>167</v>
      </c>
      <c r="B8" s="55">
        <v>5219</v>
      </c>
      <c r="C8" s="55">
        <v>5623</v>
      </c>
      <c r="D8" s="55">
        <v>5739</v>
      </c>
      <c r="E8" s="56">
        <f t="shared" si="0"/>
        <v>7.7409465414830431E-2</v>
      </c>
      <c r="F8" s="56">
        <f t="shared" si="0"/>
        <v>2.0629557175884758E-2</v>
      </c>
    </row>
    <row r="9" spans="1:6" x14ac:dyDescent="0.2">
      <c r="A9" s="60"/>
    </row>
    <row r="10" spans="1:6" x14ac:dyDescent="0.2">
      <c r="A10" s="51" t="s">
        <v>168</v>
      </c>
      <c r="B10" s="50" t="s">
        <v>3</v>
      </c>
      <c r="C10" s="50" t="s">
        <v>4</v>
      </c>
      <c r="D10" s="50" t="s">
        <v>5</v>
      </c>
      <c r="E10" s="50" t="s">
        <v>169</v>
      </c>
      <c r="F10" s="50" t="s">
        <v>170</v>
      </c>
    </row>
    <row r="11" spans="1:6" x14ac:dyDescent="0.2">
      <c r="A11" s="61" t="s">
        <v>171</v>
      </c>
      <c r="B11" s="56">
        <f>B5/B5</f>
        <v>1</v>
      </c>
      <c r="C11" s="56">
        <f>C5/C5</f>
        <v>1</v>
      </c>
      <c r="D11" s="56">
        <f>D5/D5</f>
        <v>1</v>
      </c>
      <c r="E11" s="56">
        <f t="shared" ref="E11:F13" si="1">C11-B11</f>
        <v>0</v>
      </c>
      <c r="F11" s="56">
        <f t="shared" si="1"/>
        <v>0</v>
      </c>
    </row>
    <row r="12" spans="1:6" x14ac:dyDescent="0.2">
      <c r="A12" s="61" t="s">
        <v>172</v>
      </c>
      <c r="B12" s="56">
        <f>B7/B5</f>
        <v>0.24041250402835965</v>
      </c>
      <c r="C12" s="56">
        <f>C7/C5</f>
        <v>0.24614855570839064</v>
      </c>
      <c r="D12" s="56">
        <f>D7/D5</f>
        <v>0.24348056595645978</v>
      </c>
      <c r="E12" s="56">
        <f t="shared" si="1"/>
        <v>5.7360516800309957E-3</v>
      </c>
      <c r="F12" s="56">
        <f t="shared" si="1"/>
        <v>-2.6679897519308604E-3</v>
      </c>
    </row>
    <row r="13" spans="1:6" x14ac:dyDescent="0.2">
      <c r="A13" s="61" t="s">
        <v>173</v>
      </c>
      <c r="B13" s="56">
        <f>B8/B5</f>
        <v>0.18688008020911662</v>
      </c>
      <c r="C13" s="56">
        <f>C8/C5</f>
        <v>0.19336313617606601</v>
      </c>
      <c r="D13" s="56">
        <f>D8/D5</f>
        <v>0.1901653467643063</v>
      </c>
      <c r="E13" s="56">
        <f t="shared" si="1"/>
        <v>6.483055966949397E-3</v>
      </c>
      <c r="F13" s="56">
        <f t="shared" si="1"/>
        <v>-3.1977894117597161E-3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Cash Flow Statement</vt:lpstr>
      <vt:lpstr>Ratio Analysis</vt:lpstr>
      <vt:lpstr>Revenue Profit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louis</cp:lastModifiedBy>
  <cp:revision>0</cp:revision>
  <dcterms:created xsi:type="dcterms:W3CDTF">2026-04-09T11:46:05Z</dcterms:created>
  <dcterms:modified xsi:type="dcterms:W3CDTF">2026-04-09T14:40:07Z</dcterms:modified>
  <dc:language>en-US</dc:language>
</cp:coreProperties>
</file>